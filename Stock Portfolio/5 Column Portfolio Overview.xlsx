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henrybu/Documents/Cursor Website Projects/Stock Portfolio/"/>
    </mc:Choice>
  </mc:AlternateContent>
  <xr:revisionPtr revIDLastSave="0" documentId="8_{00830D6E-CDFC-F644-93F1-509E21B83037}" xr6:coauthVersionLast="47" xr6:coauthVersionMax="47" xr10:uidLastSave="{00000000-0000-0000-0000-000000000000}"/>
  <bookViews>
    <workbookView xWindow="1980" yWindow="2500" windowWidth="26440" windowHeight="13940" xr2:uid="{A07FBEB3-E81D-4E42-A76E-D45DE1FF92B0}"/>
  </bookViews>
  <sheets>
    <sheet name="Robinhood Taxable Brokerage" sheetId="1" r:id="rId1"/>
  </sheets>
  <definedNames>
    <definedName name="_xlnm._FilterDatabase" localSheetId="0" hidden="1">'Robinhood Taxable Brokerage'!$A$1:$F$1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1" l="1" a="1"/>
  <c r="C37" i="1" s="1"/>
  <c r="E37" i="1" s="1"/>
  <c r="B37" i="1" a="1"/>
  <c r="B37" i="1" s="1"/>
  <c r="C36" i="1" a="1"/>
  <c r="C36" i="1" s="1"/>
  <c r="E36" i="1" s="1"/>
  <c r="B36" i="1" a="1"/>
  <c r="B36" i="1" s="1"/>
  <c r="C35" i="1" a="1"/>
  <c r="C35" i="1" s="1"/>
  <c r="E35" i="1" s="1"/>
  <c r="B35" i="1" a="1"/>
  <c r="B35" i="1" s="1"/>
  <c r="C34" i="1" a="1"/>
  <c r="C34" i="1" s="1"/>
  <c r="E34" i="1" s="1"/>
  <c r="B34" i="1" a="1"/>
  <c r="B34" i="1" s="1"/>
  <c r="C33" i="1" a="1"/>
  <c r="C33" i="1" s="1"/>
  <c r="E33" i="1" s="1"/>
  <c r="B33" i="1" a="1"/>
  <c r="B33" i="1" s="1"/>
  <c r="C32" i="1" a="1"/>
  <c r="C32" i="1" s="1"/>
  <c r="E32" i="1" s="1"/>
  <c r="B32" i="1" a="1"/>
  <c r="B32" i="1" s="1"/>
  <c r="C31" i="1" a="1"/>
  <c r="C31" i="1" s="1"/>
  <c r="E31" i="1" s="1"/>
  <c r="B31" i="1" a="1"/>
  <c r="B31" i="1" s="1"/>
  <c r="C30" i="1" a="1"/>
  <c r="C30" i="1" s="1"/>
  <c r="E30" i="1" s="1"/>
  <c r="B30" i="1" a="1"/>
  <c r="B30" i="1" s="1"/>
  <c r="C29" i="1" a="1"/>
  <c r="C29" i="1" s="1"/>
  <c r="E29" i="1" s="1"/>
  <c r="B29" i="1" a="1"/>
  <c r="B29" i="1" s="1"/>
  <c r="C28" i="1" a="1"/>
  <c r="C28" i="1" s="1"/>
  <c r="E28" i="1" s="1"/>
  <c r="B28" i="1" a="1"/>
  <c r="B28" i="1" s="1"/>
  <c r="C27" i="1" a="1"/>
  <c r="C27" i="1" s="1"/>
  <c r="E27" i="1" s="1"/>
  <c r="B27" i="1" a="1"/>
  <c r="B27" i="1" s="1"/>
  <c r="C26" i="1" a="1"/>
  <c r="C26" i="1" s="1"/>
  <c r="E26" i="1" s="1"/>
  <c r="B26" i="1" a="1"/>
  <c r="B26" i="1" s="1"/>
  <c r="C25" i="1" a="1"/>
  <c r="C25" i="1" s="1"/>
  <c r="E25" i="1" s="1"/>
  <c r="B25" i="1" a="1"/>
  <c r="B25" i="1" s="1"/>
  <c r="C24" i="1" a="1"/>
  <c r="C24" i="1" s="1"/>
  <c r="E24" i="1" s="1"/>
  <c r="B24" i="1" a="1"/>
  <c r="B24" i="1" s="1"/>
  <c r="C23" i="1" a="1"/>
  <c r="C23" i="1" s="1"/>
  <c r="E23" i="1" s="1"/>
  <c r="B23" i="1" a="1"/>
  <c r="B23" i="1" s="1"/>
  <c r="C22" i="1" a="1"/>
  <c r="C22" i="1" s="1"/>
  <c r="E22" i="1" s="1"/>
  <c r="B22" i="1" a="1"/>
  <c r="B22" i="1" s="1"/>
  <c r="C21" i="1" a="1"/>
  <c r="C21" i="1" s="1"/>
  <c r="E21" i="1" s="1"/>
  <c r="B21" i="1" a="1"/>
  <c r="B21" i="1" s="1"/>
  <c r="C20" i="1" a="1"/>
  <c r="C20" i="1" s="1"/>
  <c r="E20" i="1" s="1"/>
  <c r="B20" i="1" a="1"/>
  <c r="B20" i="1" s="1"/>
  <c r="C19" i="1" a="1"/>
  <c r="C19" i="1" s="1"/>
  <c r="E19" i="1" s="1"/>
  <c r="B19" i="1" a="1"/>
  <c r="B19" i="1" s="1"/>
  <c r="C18" i="1" a="1"/>
  <c r="C18" i="1" s="1"/>
  <c r="E18" i="1" s="1"/>
  <c r="B18" i="1" a="1"/>
  <c r="B18" i="1" s="1"/>
  <c r="C17" i="1" a="1"/>
  <c r="C17" i="1" s="1"/>
  <c r="E17" i="1" s="1"/>
  <c r="B17" i="1" a="1"/>
  <c r="B17" i="1" s="1"/>
  <c r="C16" i="1" a="1"/>
  <c r="C16" i="1" s="1"/>
  <c r="E16" i="1" s="1"/>
  <c r="B16" i="1" a="1"/>
  <c r="B16" i="1" s="1"/>
  <c r="C15" i="1" a="1"/>
  <c r="C15" i="1" s="1"/>
  <c r="E15" i="1" s="1"/>
  <c r="B15" i="1" a="1"/>
  <c r="B15" i="1" s="1"/>
  <c r="C14" i="1" a="1"/>
  <c r="C14" i="1" s="1"/>
  <c r="E14" i="1" s="1"/>
  <c r="B14" i="1" a="1"/>
  <c r="B14" i="1" s="1"/>
  <c r="C13" i="1" a="1"/>
  <c r="C13" i="1" s="1"/>
  <c r="E13" i="1" s="1"/>
  <c r="B13" i="1" a="1"/>
  <c r="B13" i="1" s="1"/>
  <c r="C12" i="1" a="1"/>
  <c r="C12" i="1" s="1"/>
  <c r="E12" i="1" s="1"/>
  <c r="B12" i="1" a="1"/>
  <c r="B12" i="1" s="1"/>
  <c r="C11" i="1" a="1"/>
  <c r="C11" i="1" s="1"/>
  <c r="E11" i="1" s="1"/>
  <c r="B11" i="1" a="1"/>
  <c r="B11" i="1" s="1"/>
  <c r="C10" i="1" a="1"/>
  <c r="C10" i="1" s="1"/>
  <c r="E10" i="1" s="1"/>
  <c r="B10" i="1" a="1"/>
  <c r="B10" i="1" s="1"/>
  <c r="C9" i="1" a="1"/>
  <c r="C9" i="1" s="1"/>
  <c r="E9" i="1" s="1"/>
  <c r="B9" i="1" a="1"/>
  <c r="B9" i="1" s="1"/>
  <c r="C8" i="1" a="1"/>
  <c r="C8" i="1" s="1"/>
  <c r="E8" i="1" s="1"/>
  <c r="B8" i="1" a="1"/>
  <c r="B8" i="1" s="1"/>
  <c r="C7" i="1" a="1"/>
  <c r="C7" i="1" s="1"/>
  <c r="E7" i="1" s="1"/>
  <c r="B7" i="1" a="1"/>
  <c r="B7" i="1" s="1"/>
  <c r="C6" i="1" a="1"/>
  <c r="C6" i="1" s="1"/>
  <c r="E6" i="1" s="1"/>
  <c r="B6" i="1" a="1"/>
  <c r="B6" i="1" s="1"/>
  <c r="C5" i="1" a="1"/>
  <c r="C5" i="1" s="1"/>
  <c r="E5" i="1" s="1"/>
  <c r="B5" i="1" a="1"/>
  <c r="B5" i="1" s="1"/>
  <c r="C4" i="1" a="1"/>
  <c r="C4" i="1" s="1"/>
  <c r="E4" i="1" s="1"/>
  <c r="B4" i="1" a="1"/>
  <c r="B4" i="1" s="1"/>
  <c r="C3" i="1" a="1"/>
  <c r="C3" i="1" s="1"/>
  <c r="E3" i="1" s="1"/>
  <c r="B3" i="1" a="1"/>
  <c r="B3" i="1" s="1"/>
  <c r="C2" i="1" a="1"/>
  <c r="C2" i="1" s="1"/>
  <c r="E2" i="1" s="1"/>
  <c r="F2" i="1" s="1"/>
  <c r="B2" i="1" a="1"/>
  <c r="B2" i="1" s="1"/>
  <c r="F6" i="1" l="1"/>
  <c r="F10" i="1"/>
  <c r="F14" i="1"/>
  <c r="F18" i="1"/>
  <c r="F22" i="1"/>
  <c r="F26" i="1"/>
  <c r="F30" i="1"/>
  <c r="F34" i="1"/>
  <c r="F3" i="1"/>
  <c r="F7" i="1"/>
  <c r="F11" i="1"/>
  <c r="F15" i="1"/>
  <c r="F19" i="1"/>
  <c r="F23" i="1"/>
  <c r="F27" i="1"/>
  <c r="F31" i="1"/>
  <c r="F35" i="1"/>
  <c r="F4" i="1"/>
  <c r="F8" i="1"/>
  <c r="F12" i="1"/>
  <c r="F16" i="1"/>
  <c r="F20" i="1"/>
  <c r="F24" i="1"/>
  <c r="F28" i="1"/>
  <c r="F32" i="1"/>
  <c r="F36" i="1"/>
  <c r="F5" i="1"/>
  <c r="F9" i="1"/>
  <c r="F13" i="1"/>
  <c r="F17" i="1"/>
  <c r="F21" i="1"/>
  <c r="F25" i="1"/>
  <c r="F29" i="1"/>
  <c r="F33" i="1"/>
  <c r="F37"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8"/>
        </ext>
      </extLst>
    </bk>
    <bk>
      <extLst>
        <ext uri="{3e2802c4-a4d2-4d8b-9148-e3be6c30e623}">
          <xlrd:rvb i="111"/>
        </ext>
      </extLst>
    </bk>
  </futureMetadata>
  <cellMetadata count="1">
    <bk>
      <rc t="1" v="0"/>
    </bk>
  </cellMetadata>
  <valueMetadata count="3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valueMetadata>
</metadata>
</file>

<file path=xl/sharedStrings.xml><?xml version="1.0" encoding="utf-8"?>
<sst xmlns="http://schemas.openxmlformats.org/spreadsheetml/2006/main" count="6" uniqueCount="5">
  <si>
    <t>Ticker</t>
  </si>
  <si>
    <t>Last Price</t>
  </si>
  <si>
    <t># Shares</t>
  </si>
  <si>
    <t>Total Value</t>
  </si>
  <si>
    <t>% Total Portfolio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</si>
</sst>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 x14ac:knownFonts="1">
    <font>
      <sz val="12"/>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164" fontId="0" fillId="0" borderId="0" xfId="0" applyNumberFormat="1"/>
    <xf numFmtId="9" fontId="0" fillId="0" borderId="0" xfId="1" applyFont="1"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12">
  <rv s="0">
    <v>https://www.bing.com/financeapi/forcetrigger?t=a21rw7&amp;q=XNYS%3aRCL&amp;form=skydnc</v>
    <v>Learn more on Bing</v>
  </rv>
  <rv s="1">
    <v>0</v>
    <v>ROYAL CARIBBEAN CRUISES LTD. (XNYS:RCL)</v>
    <v>2</v>
    <v>3</v>
    <v>Finance</v>
    <v>4</v>
    <v>en-US</v>
    <v>a21rw7</v>
    <v>268435456</v>
    <v>1</v>
    <v>Powered by Refinitiv</v>
    <v>366.5</v>
    <v>203.85</v>
    <v>1.8168</v>
    <v>-5.12</v>
    <v>-1.9273999999999999E-2</v>
    <v>0.13</v>
    <v>4.9919999999999999E-4</v>
    <v>USD</v>
    <v>Royal Caribbean Cruises Ltd. is a cruise company, which owns and operates three global cruise brands: Royal Caribbean International, Celebrity Cruises and Silversea Cruises. It also has an interest in TUI Cruises GmbH, which operates the German brands TUI Cruises and Hapag-Lloyd Cruises. Its ships offer a selection of worldwide itineraries that call on approximately 1,000 destinations on all seven continents. Royal Caribbean International offers cruises and land destinations that generally feature a casual ambiance, as well as a variety of activities and entertainment venues. Celebrity Cruises offers a range of itineraries to destinations, including Alaska, Asia, Australia, Bermuda, Canada, the Caribbean, Europe, the Galapagos Islands, Hawaii, New Zealand, the Panama Canal and South America, with cruise lengths ranging from three to 14 nights. It also offers a range of private land destinations through Perfect Day at CocoCay, includes full water park, zip line course, and others.</v>
    <v>107950</v>
    <v>New York Stock Exchange</v>
    <v>XNYS</v>
    <v>XNYS</v>
    <v>1050 Caribbean Way, MIAMI, FL, 33132 US</v>
    <v>269.66000000000003</v>
    <v>Hotels &amp; Entertainment Services</v>
    <v>Stock</v>
    <v>46135.949766180471</v>
    <v>0</v>
    <v>258.58</v>
    <v>69869562204</v>
    <v>ROYAL CARIBBEAN CRUISES LTD.</v>
    <v>ROYAL CARIBBEAN CRUISES LTD.</v>
    <v>264.51</v>
    <v>16.664300000000001</v>
    <v>265.64</v>
    <v>260.52</v>
    <v>260.56</v>
    <v>268192700</v>
    <v>RCL</v>
    <v>ROYAL CARIBBEAN CRUISES LTD. (XNYS:RCL)</v>
    <v>1974916</v>
    <v>2487154</v>
    <v>1985</v>
  </rv>
  <rv s="2">
    <v>1</v>
  </rv>
  <rv s="0">
    <v>https://www.bing.com/financeapi/forcetrigger?t=a1nhlh&amp;q=XNAS%3aAMZN&amp;form=skydnc</v>
    <v>Learn more on Bing</v>
  </rv>
  <rv s="1">
    <v>0</v>
    <v>AMAZON.COM, INC. (XNAS:AMZN)</v>
    <v>2</v>
    <v>3</v>
    <v>Finance</v>
    <v>4</v>
    <v>en-US</v>
    <v>a1nhlh</v>
    <v>268435456</v>
    <v>1</v>
    <v>Powered by Refinitiv</v>
    <v>258.79000000000002</v>
    <v>178.85</v>
    <v>1.4353</v>
    <v>-0.28000000000000003</v>
    <v>-1.096E-3</v>
    <v>7.0000000000000007E-2</v>
    <v>2.744E-4</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258.79000000000002</v>
    <v>Diversified Retail</v>
    <v>Stock</v>
    <v>46135.95155146953</v>
    <v>3</v>
    <v>253.07</v>
    <v>2743229801200</v>
    <v>AMAZON.COM, INC.</v>
    <v>AMAZON.COM, INC.</v>
    <v>255.39</v>
    <v>35.565100000000001</v>
    <v>255.36</v>
    <v>255.08</v>
    <v>255.15</v>
    <v>10754390000</v>
    <v>AMZN</v>
    <v>AMAZON.COM, INC. (XNAS:AMZN)</v>
    <v>39045708</v>
    <v>45471566</v>
    <v>1996</v>
  </rv>
  <rv s="2">
    <v>4</v>
  </rv>
  <rv s="0">
    <v>https://www.bing.com/financeapi/forcetrigger?t=a1u3rw&amp;q=XNAS%3aGOOGL&amp;form=skydnc</v>
    <v>Learn more on Bing</v>
  </rv>
  <rv s="1">
    <v>0</v>
    <v>ALPHABET INC. (XNAS:GOOGL)</v>
    <v>2</v>
    <v>3</v>
    <v>Finance</v>
    <v>4</v>
    <v>en-US</v>
    <v>a1u3rw</v>
    <v>268435456</v>
    <v>1</v>
    <v>Powered by Refinitiv</v>
    <v>349</v>
    <v>147.84</v>
    <v>1.1479999999999999</v>
    <v>-0.43</v>
    <v>-1.2670000000000001E-3</v>
    <v>-0.39</v>
    <v>-1.1509999999999999E-3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341.96</v>
    <v>Software &amp; IT Services</v>
    <v>Stock</v>
    <v>46135.951524606251</v>
    <v>6</v>
    <v>336.18</v>
    <v>4099552330000</v>
    <v>ALPHABET INC.</v>
    <v>ALPHABET INC.</v>
    <v>341.18</v>
    <v>31.389399999999998</v>
    <v>339.32</v>
    <v>338.89</v>
    <v>338.5</v>
    <v>12097000000</v>
    <v>GOOGL</v>
    <v>ALPHABET INC. (XNAS:GOOGL)</v>
    <v>18637562</v>
    <v>27794448</v>
    <v>2015</v>
  </rv>
  <rv s="2">
    <v>7</v>
  </rv>
  <rv s="0">
    <v>https://www.bing.com/financeapi/forcetrigger?t=a1slm7&amp;q=XNAS%3aMETA&amp;form=skydnc</v>
    <v>Learn more on Bing</v>
  </rv>
  <rv s="1">
    <v>0</v>
    <v>META PLATFORMS, INC. (XNAS:META)</v>
    <v>2</v>
    <v>3</v>
    <v>Finance</v>
    <v>4</v>
    <v>en-US</v>
    <v>a1slm7</v>
    <v>268435456</v>
    <v>1</v>
    <v>Powered by Refinitiv</v>
    <v>796.25</v>
    <v>516.52</v>
    <v>1.3347</v>
    <v>-15.57</v>
    <v>-2.3075999999999999E-2</v>
    <v>0.8</v>
    <v>1.214E-3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78865</v>
    <v>Nasdaq Stock Market</v>
    <v>XNAS</v>
    <v>XNAS</v>
    <v>1 Meta Way, MENLO PARK, CA, 94025 US</v>
    <v>669.56</v>
    <v>Software &amp; IT Services</v>
    <v>Stock</v>
    <v>46135.951575914063</v>
    <v>9</v>
    <v>653.04999999999995</v>
    <v>1673201520450</v>
    <v>META PLATFORMS, INC.</v>
    <v>META PLATFORMS, INC.</v>
    <v>663.7</v>
    <v>22.55</v>
    <v>674.72</v>
    <v>659.15</v>
    <v>659.95</v>
    <v>2538423000</v>
    <v>META</v>
    <v>META PLATFORMS, INC. (XNAS:META)</v>
    <v>11654477</v>
    <v>16954930</v>
    <v>2004</v>
  </rv>
  <rv s="2">
    <v>10</v>
  </rv>
  <rv s="0">
    <v>https://www.bing.com/financeapi/forcetrigger?t=a235f2&amp;q=XNAS%3aSMH&amp;form=skydnc</v>
    <v>Learn more on Bing</v>
  </rv>
  <rv s="3">
    <v>5</v>
    <v>VanEck:Semiconductor (XNAS:SMH)</v>
    <v>6</v>
    <v>7</v>
    <v>Finance</v>
    <v>8</v>
    <v>en-US</v>
    <v>a235f2</v>
    <v>268435456</v>
    <v>1</v>
    <v>Powered by Refinitiv</v>
    <v>488.08</v>
    <v>198.07499999999999</v>
    <v>1.5004</v>
    <v>5.0199999999999996</v>
    <v>1.0527999999999999E-2</v>
    <v>8.34</v>
    <v>1.7308E-2</v>
    <v>USD</v>
    <v>Nasdaq Stock Market</v>
    <v>XNAS</v>
    <v>3.4999999999999996E-3</v>
    <v>488.08</v>
    <v>ETF</v>
    <v>46135.951640878906</v>
    <v>12</v>
    <v>475.19009999999997</v>
    <v>40983896027.099998</v>
    <v>VanEck:Semiconductor</v>
    <v>480.39499999999998</v>
    <v>476.83</v>
    <v>481.85</v>
    <v>490.19</v>
    <v>SMH</v>
    <v>VanEck:Semiconductor (XNAS:SMH)</v>
    <v>10601442</v>
    <v>8963662</v>
  </rv>
  <rv s="2">
    <v>13</v>
  </rv>
  <rv s="0">
    <v>https://www.bing.com/financeapi/forcetrigger?t=a1ndww&amp;q=XNAS%3aAMD&amp;form=skydnc</v>
    <v>Learn more on Bing</v>
  </rv>
  <rv s="1">
    <v>0</v>
    <v>ADVANCED MICRO DEVICES, INC. (XNAS:AMD)</v>
    <v>2</v>
    <v>3</v>
    <v>Finance</v>
    <v>4</v>
    <v>en-US</v>
    <v>a1ndww</v>
    <v>268435456</v>
    <v>1</v>
    <v>Powered by Refinitiv</v>
    <v>310.22000000000003</v>
    <v>90.12</v>
    <v>2.1976</v>
    <v>1.87</v>
    <v>6.1619999999999999E-3</v>
    <v>22.42</v>
    <v>7.3429000000000008E-2</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310.22000000000003</v>
    <v>Semiconductors &amp; Semiconductor Equipment</v>
    <v>Stock</v>
    <v>46135.95161920078</v>
    <v>15</v>
    <v>299.76</v>
    <v>497791406870</v>
    <v>ADVANCED MICRO DEVICES, INC.</v>
    <v>ADVANCED MICRO DEVICES, INC.</v>
    <v>302.01</v>
    <v>117.2362</v>
    <v>303.45999999999998</v>
    <v>305.33</v>
    <v>327.75</v>
    <v>1630339000</v>
    <v>AMD</v>
    <v>ADVANCED MICRO DEVICES, INC. (XNAS:AMD)</v>
    <v>45125127</v>
    <v>35983774</v>
    <v>1969</v>
  </rv>
  <rv s="2">
    <v>16</v>
  </rv>
  <rv s="0">
    <v>https://www.bing.com/financeapi/forcetrigger?t=a24kar&amp;q=XNAS%3aTSLA&amp;form=skydnc</v>
    <v>Learn more on Bing</v>
  </rv>
  <rv s="1">
    <v>0</v>
    <v>TESLA, INC. (XNAS:TSLA)</v>
    <v>2</v>
    <v>3</v>
    <v>Finance</v>
    <v>4</v>
    <v>en-US</v>
    <v>a24kar</v>
    <v>268435456</v>
    <v>1</v>
    <v>Powered by Refinitiv</v>
    <v>498.83</v>
    <v>244.43</v>
    <v>1.8324</v>
    <v>-13.79</v>
    <v>-3.5586E-2</v>
    <v>-0.28100000000000003</v>
    <v>-7.5190000000000012E-4</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386</v>
    <v>Automobiles &amp; Auto Parts</v>
    <v>Stock</v>
    <v>46135.951645358597</v>
    <v>18</v>
    <v>368.39</v>
    <v>1402358887040</v>
    <v>TESLA, INC.</v>
    <v>TESLA, INC.</v>
    <v>375.28</v>
    <v>354.19450000000001</v>
    <v>387.51</v>
    <v>373.72</v>
    <v>373.43900000000002</v>
    <v>3752432000</v>
    <v>TSLA</v>
    <v>TESLA, INC. (XNAS:TSLA)</v>
    <v>93801791</v>
    <v>67709305</v>
    <v>2024</v>
  </rv>
  <rv s="2">
    <v>19</v>
  </rv>
  <rv s="0">
    <v>http://en.wikipedia.org/wiki/Public_domain</v>
    <v>Public domain</v>
  </rv>
  <rv s="0">
    <v>https://en.wikipedia.org/wiki/Microsoft</v>
    <v>Wikipedia</v>
  </rv>
  <rv s="4">
    <v>21</v>
    <v>22</v>
  </rv>
  <rv s="5">
    <v>13</v>
    <v>https://www.bing.com/th?id=AMMS_e6e837c7bf3a77408619758b7447855a&amp;qlt=95</v>
    <v>23</v>
    <v>0</v>
    <v>https://www.bing.com/images/search?form=xlimg&amp;q=microsoft</v>
    <v>Image of MICROSOFT CORPORATION</v>
  </rv>
  <rv s="0">
    <v>https://www.bing.com/financeapi/forcetrigger?t=a1xzim&amp;q=XNAS%3aMSFT&amp;form=skydnc</v>
    <v>Learn more on Bing</v>
  </rv>
  <rv s="6">
    <v>9</v>
    <v>MICROSOFT CORPORATION (XNAS:MSFT)</v>
    <v>11</v>
    <v>12</v>
    <v>Finance</v>
    <v>4</v>
    <v>en-US</v>
    <v>a1xzim</v>
    <v>268435456</v>
    <v>1</v>
    <v>Powered by Refinitiv</v>
    <v>555.45000000000005</v>
    <v>356.28</v>
    <v>1.1498999999999999</v>
    <v>-17.170000000000002</v>
    <v>-3.9661000000000002E-2</v>
    <v>2.2200000000000002</v>
    <v>5.3400000000000001E-3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423.66</v>
    <v>24</v>
    <v>Software &amp; IT Services</v>
    <v>Stock</v>
    <v>46135.951447742969</v>
    <v>25</v>
    <v>411.4101</v>
    <v>3087205256750</v>
    <v>MICROSOFT CORPORATION</v>
    <v>MICROSOFT CORPORATION</v>
    <v>419.88499999999999</v>
    <v>27.087199999999999</v>
    <v>432.92</v>
    <v>415.75</v>
    <v>417.97</v>
    <v>7425629000</v>
    <v>MSFT</v>
    <v>MICROSOFT CORPORATION (XNAS:MSFT)</v>
    <v>38242801</v>
    <v>34020286</v>
    <v>1993</v>
  </rv>
  <rv s="2">
    <v>26</v>
  </rv>
  <rv s="0">
    <v>https://www.bing.com/financeapi/forcetrigger?t=a1wyu2&amp;q=XNYS%3aLLY&amp;form=skydnc</v>
    <v>Learn more on Bing</v>
  </rv>
  <rv s="1">
    <v>0</v>
    <v>ELI LILLY AND COMPANY (XNYS:LLY)</v>
    <v>2</v>
    <v>3</v>
    <v>Finance</v>
    <v>4</v>
    <v>en-US</v>
    <v>a1wyu2</v>
    <v>268435456</v>
    <v>1</v>
    <v>Powered by Refinitiv</v>
    <v>1133.95</v>
    <v>623.78</v>
    <v>0.48039999999999999</v>
    <v>-4.25</v>
    <v>-4.6119999999999998E-3</v>
    <v>-0.875</v>
    <v>-9.5350000000000003E-4</v>
    <v>USD</v>
    <v>Eli Lilly and Company is a medicine company, which discovers, develops, manufactures, and market products in a single business segment called human pharmaceutical products. The Company manufacture and distribute its products through facilities in the United States, including Puerto Rico, and in Europe and Asia. The Company’s products are sold in approximately 90 countries. Its Cardiometabolic Health products Basaglar; Humalog, Humalog Mix 75/25, Humalog U-100, Humalog U-200, Humalog Mix 50/50, insulin lispro, and others; Humulin, Humulin 70/30, and others; Jardiance; Mounjaro; Trulicity; Zepbound, and others. Its oncology products include Cyramza, Erbitux, Tyvyt, Verzenio, Retevmo, Jaypirca, and others. Its immunology products include Ebglyss, Olumiant, Omvoh, and Taltz. Its neuroscience products include Emgality and Kisunla. Its LillyDirect, a direct-to-patient digital health care platform, provides delivery of select Lilly medicines dispensed by third-party pharmacies to patients.</v>
    <v>50000</v>
    <v>New York Stock Exchange</v>
    <v>XNYS</v>
    <v>XNYS</v>
    <v>Lilly Corporate Ctr, Drop Code 1094, INDIANAPOLIS, IN, 46285 US</v>
    <v>930</v>
    <v>Pharmaceuticals</v>
    <v>Stock</v>
    <v>46135.951016330466</v>
    <v>28</v>
    <v>911.89</v>
    <v>866616239647</v>
    <v>ELI LILLY AND COMPANY</v>
    <v>ELI LILLY AND COMPANY</v>
    <v>929.49</v>
    <v>39.954999999999998</v>
    <v>921.48</v>
    <v>917.23</v>
    <v>916.77499999999998</v>
    <v>944818900</v>
    <v>LLY</v>
    <v>ELI LILLY AND COMPANY (XNYS:LLY)</v>
    <v>2148030</v>
    <v>2911566</v>
    <v>1901</v>
  </rv>
  <rv s="2">
    <v>29</v>
  </rv>
  <rv s="0">
    <v>https://www.bing.com/financeapi/forcetrigger?t=a24xlh&amp;q=XNYS%3aUNH&amp;form=skydnc</v>
    <v>Learn more on Bing</v>
  </rv>
  <rv s="1">
    <v>0</v>
    <v>UNITEDHEALTH GROUP INCORPORATED (XNYS:UNH)</v>
    <v>2</v>
    <v>3</v>
    <v>Finance</v>
    <v>4</v>
    <v>en-US</v>
    <v>a24xlh</v>
    <v>268435456</v>
    <v>1</v>
    <v>Powered by Refinitiv</v>
    <v>438.85</v>
    <v>234.6</v>
    <v>0.57979999999999998</v>
    <v>1</v>
    <v>2.8289999999999999E-3</v>
    <v>-0.83</v>
    <v>-2.3410000000000002E-3</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provides comprehensive and patient-centered care, addressing the physical, mental, and social well-being. Optum Health delivers primary, specialty and surgical care and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390000</v>
    <v>New York Stock Exchange</v>
    <v>XNYS</v>
    <v>XNYS</v>
    <v>1 HEALTH DRIVE, EDEN PRAIRIE, MN, 55344 US</v>
    <v>356.85</v>
    <v>Healthcare Providers &amp; Services</v>
    <v>Stock</v>
    <v>46135.951417441407</v>
    <v>31</v>
    <v>350.5</v>
    <v>321979743664</v>
    <v>UNITEDHEALTH GROUP INCORPORATED</v>
    <v>UNITEDHEALTH GROUP INCORPORATED</v>
    <v>354.68</v>
    <v>26.7746</v>
    <v>353.52</v>
    <v>354.52</v>
    <v>353.73</v>
    <v>908213200</v>
    <v>UNH</v>
    <v>UNITEDHEALTH GROUP INCORPORATED (XNYS:UNH)</v>
    <v>7249610</v>
    <v>9978648</v>
    <v>2015</v>
  </rv>
  <rv s="2">
    <v>32</v>
  </rv>
  <rv s="0">
    <v>https://www.bing.com/financeapi/forcetrigger?t=a1waa2&amp;q=XNYS%3aJPM&amp;form=skydnc</v>
    <v>Learn more on Bing</v>
  </rv>
  <rv s="1">
    <v>0</v>
    <v>JPMORGAN CHASE &amp; CO. (XNYS:JPM)</v>
    <v>2</v>
    <v>3</v>
    <v>Finance</v>
    <v>4</v>
    <v>en-US</v>
    <v>a1waa2</v>
    <v>268435456</v>
    <v>1</v>
    <v>Powered by Refinitiv</v>
    <v>337.25</v>
    <v>237.58</v>
    <v>1.0341</v>
    <v>-1.31</v>
    <v>-4.1849999999999995E-3</v>
    <v>-0.54</v>
    <v>-1.732E-3</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320079</v>
    <v>New York Stock Exchange</v>
    <v>XNYS</v>
    <v>XNYS</v>
    <v>270 Park Avenue, NEW YORK, NY, 10017 US</v>
    <v>314.99</v>
    <v>Banking Services</v>
    <v>Stock</v>
    <v>46135.951074316406</v>
    <v>34</v>
    <v>308.89</v>
    <v>836074796200</v>
    <v>JPMORGAN CHASE &amp; CO.</v>
    <v>JPMORGAN CHASE &amp; CO.</v>
    <v>313.52</v>
    <v>14.9275</v>
    <v>313.02</v>
    <v>311.70999999999998</v>
    <v>311.14999999999998</v>
    <v>2682220000</v>
    <v>JPM</v>
    <v>JPMORGAN CHASE &amp; CO. (XNYS:JPM)</v>
    <v>6968837</v>
    <v>9954104</v>
    <v>1968</v>
  </rv>
  <rv s="2">
    <v>35</v>
  </rv>
  <rv s="0">
    <v>https://www.bing.com/financeapi/forcetrigger?t=a1p5h7&amp;q=XNAS%3aCAKE&amp;form=skydnc</v>
    <v>Learn more on Bing</v>
  </rv>
  <rv s="1">
    <v>0</v>
    <v>THE CHEESECAKE FACTORY INCORPORATED (XNAS:CAKE)</v>
    <v>2</v>
    <v>3</v>
    <v>Finance</v>
    <v>14</v>
    <v>en-US</v>
    <v>a1p5h7</v>
    <v>268435456</v>
    <v>1</v>
    <v>Powered by Refinitiv</v>
    <v>69.7</v>
    <v>43.07</v>
    <v>1.0462</v>
    <v>-1.39</v>
    <v>-2.1968999999999999E-2</v>
    <v>-0.88</v>
    <v>-1.4220999999999999E-2</v>
    <v>USD</v>
    <v>The Cheesecake Factory Incorporated is an experiential dining company focused on hospitality. The Company owns and operates about 368 restaurants throughout the United States and Canada under brands, including The Cheesecake Factory (216 locations), North Italia (48 locations), Flower Child (43 locations), and a collection within its Fox Restaurant Concepts (FRC) portfolio (55 locations). Internationally, 35 The Cheesecake Factory restaurants operate under licensing agreements. Its bakery division operates two facilities that produce cheesecakes and other baked products for its restaurants, international licenses, and third-party bakery customers. The Cheesecake Factory menu features about 225 items, exclusive of beverage and dessert items and including items presented on supplemental menus, such as its SkinnyLicious menu that offers items at 590 calories or less. Its menu offerings include appetizers, pizza, seafood, steaks, chicken, burgers, small plates, pasta, salads, and others.</v>
    <v>48400</v>
    <v>Nasdaq Stock Market</v>
    <v>XNAS</v>
    <v>XNAS</v>
    <v>26901 MALIBU HILLS RD, CALABASAS HILLS, CA, 91301 US</v>
    <v>64</v>
    <v>Hotels &amp; Entertainment Services</v>
    <v>Stock</v>
    <v>46135.929401399997</v>
    <v>37</v>
    <v>61.73</v>
    <v>3081376480</v>
    <v>THE CHEESECAKE FACTORY INCORPORATED</v>
    <v>THE CHEESECAKE FACTORY INCORPORATED</v>
    <v>63.62</v>
    <v>20.222200000000001</v>
    <v>63.27</v>
    <v>61.88</v>
    <v>61</v>
    <v>49796000</v>
    <v>CAKE</v>
    <v>THE CHEESECAKE FACTORY INCORPORATED (XNAS:CAKE)</v>
    <v>934986</v>
    <v>1107910</v>
    <v>1992</v>
  </rv>
  <rv s="2">
    <v>38</v>
  </rv>
  <rv s="0">
    <v>https://www.bing.com/financeapi/forcetrigger?t=bvsk7w&amp;q=XNYS%3aPLTR&amp;form=skydnc</v>
    <v>Learn more on Bing</v>
  </rv>
  <rv s="1">
    <v>0</v>
    <v>PALANTIR TECHNOLOGIES INC. (XNAS:PLTR)</v>
    <v>2</v>
    <v>3</v>
    <v>Finance</v>
    <v>4</v>
    <v>en-US</v>
    <v>bvsk7w</v>
    <v>268435456</v>
    <v>1</v>
    <v>Powered by Refinitiv</v>
    <v>207.52</v>
    <v>97.83</v>
    <v>1.6184000000000001</v>
    <v>-11.05</v>
    <v>-7.2401999999999994E-2</v>
    <v>0.92</v>
    <v>6.4990000000000004E-3</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4429</v>
    <v>Nasdaq Stock Market</v>
    <v>XNAS</v>
    <v>XNAS</v>
    <v>1200 17Th Street, Floor 15, DENVER, CO, 80202 US</v>
    <v>150.29</v>
    <v>Software &amp; IT Services</v>
    <v>Stock</v>
    <v>46135.951589131248</v>
    <v>40</v>
    <v>139.91999999999999</v>
    <v>338447293470</v>
    <v>PALANTIR TECHNOLOGIES INC.</v>
    <v>PALANTIR TECHNOLOGIES INC.</v>
    <v>149.69999999999999</v>
    <v>223.72</v>
    <v>152.62</v>
    <v>141.57</v>
    <v>142.49</v>
    <v>2390671000</v>
    <v>PLTR</v>
    <v>PALANTIR TECHNOLOGIES INC. (XNAS:PLTR)</v>
    <v>58529842</v>
    <v>48344417</v>
    <v>2003</v>
  </rv>
  <rv s="2">
    <v>41</v>
  </rv>
  <rv s="0">
    <v>https://www.bing.com/financeapi/forcetrigger?t=a25o5r&amp;q=ARCX%3aVYM&amp;form=skydnc</v>
    <v>Learn more on Bing</v>
  </rv>
  <rv s="3">
    <v>5</v>
    <v>Vanguard Hi Dv Yld;ETF (ARCX:VYM)</v>
    <v>6</v>
    <v>7</v>
    <v>Finance</v>
    <v>8</v>
    <v>en-US</v>
    <v>a25o5r</v>
    <v>268435456</v>
    <v>1</v>
    <v>Powered by Refinitiv</v>
    <v>157.29</v>
    <v>121.35120000000001</v>
    <v>0.90090000000000003</v>
    <v>1</v>
    <v>6.4590000000000003E-3</v>
    <v>0.1487</v>
    <v>9.542000000000001E-4</v>
    <v>USD</v>
    <v>NYSE Arca</v>
    <v>ARCX</v>
    <v>4.0000000000000002E-4</v>
    <v>156.18</v>
    <v>ETF</v>
    <v>46135.949624560155</v>
    <v>43</v>
    <v>154.74</v>
    <v>72632240594</v>
    <v>Vanguard Hi Dv Yld;ETF</v>
    <v>155.05000000000001</v>
    <v>154.82</v>
    <v>155.82</v>
    <v>155.9787</v>
    <v>VYM</v>
    <v>Vanguard Hi Dv Yld;ETF (ARCX:VYM)</v>
    <v>1044645</v>
    <v>1544910</v>
  </rv>
  <rv s="2">
    <v>44</v>
  </rv>
  <rv s="0">
    <v>https://www.bing.com/financeapi/forcetrigger?t=a22wz2&amp;q=XNYS%3aSHOP&amp;form=skydnc</v>
    <v>Learn more on Bing</v>
  </rv>
  <rv s="1">
    <v>0</v>
    <v>SHOPIFY INC. (XNAS:SHOP)</v>
    <v>2</v>
    <v>3</v>
    <v>Finance</v>
    <v>4</v>
    <v>en-US</v>
    <v>a22wz2</v>
    <v>268435456</v>
    <v>1</v>
    <v>Powered by Refinitiv</v>
    <v>182.19</v>
    <v>88.14</v>
    <v>2.7494999999999998</v>
    <v>-7.73</v>
    <v>-5.8577999999999998E-2</v>
    <v>0.5</v>
    <v>4.0249999999999999E-3</v>
    <v>USD</v>
    <v>Shopify Inc. (Shopify) is a Canada-based global commerce company. The Company provides essential Internet infrastructure for commerce, offering tools to start, grow, market and manage a retail business of any size. It provides platforms and services that are engineered and delivers a shopping experience for consumers online, in store and everywhere in between. Its software enables merchants to run their business across all of their sales channels, including Web and mobile storefronts, physical retail locations, social media storefronts, and marketplaces. The Company's Shopify platform provides merchants with a single view of their business across all of their sales channels and enables them to manage products and inventory, process orders and payments, fulfill and ship orders, build customer relationships, source products, leverage analytics and reporting, and access financing, all from one integrated back office. The Shopify's platform operates across 175 countries.</v>
    <v>7600</v>
    <v>Nasdaq Stock Market</v>
    <v>XNAS</v>
    <v>XNAS</v>
    <v>151 O'connor Street, Ground Floor, OTTAWA, ON, K2P 2L8 CA</v>
    <v>130.30000000000001</v>
    <v>Software &amp; IT Services</v>
    <v>Stock</v>
    <v>46135.951214756249</v>
    <v>46</v>
    <v>121.73009999999999</v>
    <v>162009709530</v>
    <v>SHOPIFY INC.</v>
    <v>SHOPIFY INC.</v>
    <v>130</v>
    <v>141.33779999999999</v>
    <v>131.96</v>
    <v>124.23</v>
    <v>124.73</v>
    <v>1304111000</v>
    <v>SHOP</v>
    <v>SHOPIFY INC. (XNAS:SHOP)</v>
    <v>7907739</v>
    <v>8147209</v>
    <v>2004</v>
  </rv>
  <rv s="2">
    <v>47</v>
  </rv>
  <rv s="0">
    <v>https://www.bing.com/financeapi/forcetrigger?t=bwxxoc&amp;q=XNAS%3aSOFI&amp;form=skydnc</v>
    <v>Learn more on Bing</v>
  </rv>
  <rv s="1">
    <v>0</v>
    <v>SOFI TECHNOLOGIES, INC. (XNAS:SOFI)</v>
    <v>2</v>
    <v>3</v>
    <v>Finance</v>
    <v>4</v>
    <v>en-US</v>
    <v>bwxxoc</v>
    <v>268435456</v>
    <v>1</v>
    <v>Powered by Refinitiv</v>
    <v>32.729999999999997</v>
    <v>11.64</v>
    <v>2.2907999999999999</v>
    <v>-0.74</v>
    <v>-3.8824999999999998E-2</v>
    <v>0.13</v>
    <v>7.0959999999999999E-3</v>
    <v>USD</v>
    <v>SoFi Technologies, Inc. is a member-centric, one-stop shop for digital financial services. The Company, through its lending and financial services products, allows members to borrow, save, spend, invest and protect their money. The Company's segments include Lending, Technology Platform and Financial Services. The Lending segment offers personal loans, student loans, home loans and related servicing to help its members with a variety of financial needs. Its platform supports the full transaction lifecycle, including credit application, underwriting, approval, funding and servicing. The Technology Platform segment provides services through a diversified suite of offerings which include an event and authorization platform accessed via application programming interfaces, a cloud-native digital and core banking platform and services related to both platforms. The Financial Services segment offers a suite of financial services solutions, including SoFi Money and SoFi Invest.</v>
    <v>6100</v>
    <v>Nasdaq Stock Market</v>
    <v>XNAS</v>
    <v>XNAS</v>
    <v>234 1st Street, SAN FRANCISCO, CA, 94105 US</v>
    <v>18.899999999999999</v>
    <v>Banking Services</v>
    <v>Stock</v>
    <v>46135.951528251564</v>
    <v>49</v>
    <v>17.93</v>
    <v>23362836480</v>
    <v>SOFI TECHNOLOGIES, INC.</v>
    <v>SOFI TECHNOLOGIES, INC.</v>
    <v>18.77</v>
    <v>50.138100000000001</v>
    <v>19.059999999999999</v>
    <v>18.32</v>
    <v>18.45</v>
    <v>1275264000</v>
    <v>SOFI</v>
    <v>SOFI TECHNOLOGIES, INC. (XNAS:SOFI)</v>
    <v>51659324</v>
    <v>58255188</v>
    <v>2021</v>
  </rv>
  <rv s="2">
    <v>50</v>
  </rv>
  <rv s="0">
    <v>https://www.bing.com/financeapi/forcetrigger?t=a1yv52&amp;q=XNAS%3aNVDA&amp;form=skydnc</v>
    <v>Learn more on Bing</v>
  </rv>
  <rv s="1">
    <v>0</v>
    <v>NVIDIA CORPORATION (XNAS:NVDA)</v>
    <v>2</v>
    <v>3</v>
    <v>Finance</v>
    <v>4</v>
    <v>en-US</v>
    <v>a1yv52</v>
    <v>268435456</v>
    <v>1</v>
    <v>Powered by Refinitiv</v>
    <v>212.18989999999999</v>
    <v>102.02</v>
    <v>2.2831999999999999</v>
    <v>-2.86</v>
    <v>-1.4123000000000002E-2</v>
    <v>-0.39</v>
    <v>-1.954E-3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203.82900000000001</v>
    <v>Semiconductors &amp; Semiconductor Equipment</v>
    <v>Stock</v>
    <v>46135.951587337498</v>
    <v>52</v>
    <v>197.22059999999999</v>
    <v>4851252000000</v>
    <v>NVIDIA CORPORATION</v>
    <v>NVIDIA CORPORATION</v>
    <v>202.46</v>
    <v>40.727899999999998</v>
    <v>202.5</v>
    <v>199.64</v>
    <v>199.25</v>
    <v>24300000000</v>
    <v>NVDA</v>
    <v>NVIDIA CORPORATION (XNAS:NVDA)</v>
    <v>113275627</v>
    <v>157668330</v>
    <v>1998</v>
  </rv>
  <rv s="2">
    <v>53</v>
  </rv>
  <rv s="0">
    <v>https://www.bing.com/financeapi/forcetrigger?t=a1runm&amp;q=XNYS%3aELF&amp;form=skydnc</v>
    <v>Learn more on Bing</v>
  </rv>
  <rv s="1">
    <v>0</v>
    <v>E.L.F. BEAUTY, INC. (XNYS:ELF)</v>
    <v>2</v>
    <v>3</v>
    <v>Finance</v>
    <v>4</v>
    <v>en-US</v>
    <v>a1runm</v>
    <v>268435456</v>
    <v>1</v>
    <v>Powered by Refinitiv</v>
    <v>150.99</v>
    <v>56.5</v>
    <v>1.7461</v>
    <v>0.66</v>
    <v>1.0064E-2</v>
    <v>0.12</v>
    <v>1.812E-3</v>
    <v>USD</v>
    <v>e.l.f. Beauty, Inc. is a multi-brand beauty company. The Company offers inclusive, accessible, clean, vegan, and cruelty-free cosmetics and skincare products. The Company's family of brands includes e.l.f. Cosmetics, e.l.f. SKIN, Naturium, Well People, Keys Soulcare, and rhode. Its e.l.f. SKIN is an ingredient-focused, dermatologist-developed formulas for every eye, lip and face. The Company operates across beauty categories including eye, lip, and face makeup, beauty tools and accessories, and skincare products. Its color cosmetics and skin care products are broadly sold through food, drug, and mass channels, as well as through department stores and direct and specialty channels. The Company sells its products with retailers in the United States, as well as internationally. It also sells its products online through its own direct e-commerce channels, as well as through other e-commerce Websites.</v>
    <v>633</v>
    <v>New York Stock Exchange</v>
    <v>XNYS</v>
    <v>XNYS</v>
    <v>601 12TH STREET, SUITE 1400, OAKLAND, CA, 94607-4038 US</v>
    <v>67.88</v>
    <v>Personal &amp; Household Products &amp; Services</v>
    <v>Stock</v>
    <v>46135.946606307814</v>
    <v>55</v>
    <v>65.31</v>
    <v>3911620377</v>
    <v>E.L.F. BEAUTY, INC.</v>
    <v>E.L.F. BEAUTY, INC.</v>
    <v>65.31</v>
    <v>39.3934</v>
    <v>65.58</v>
    <v>66.239999999999995</v>
    <v>66.349999999999994</v>
    <v>59052240</v>
    <v>ELF</v>
    <v>E.L.F. BEAUTY, INC. (XNYS:ELF)</v>
    <v>1827259</v>
    <v>2410664</v>
    <v>2013</v>
  </rv>
  <rv s="2">
    <v>56</v>
  </rv>
  <rv s="0">
    <v>https://www.bing.com/financeapi/forcetrigger?t=a21icw&amp;q=XNAS%3aPYPL&amp;form=skydnc</v>
    <v>Learn more on Bing</v>
  </rv>
  <rv s="1">
    <v>0</v>
    <v>PAYPAL HOLDINGS, INC. (XNAS:PYPL)</v>
    <v>2</v>
    <v>3</v>
    <v>Finance</v>
    <v>4</v>
    <v>en-US</v>
    <v>a21icw</v>
    <v>268435456</v>
    <v>1</v>
    <v>Powered by Refinitiv</v>
    <v>79.5</v>
    <v>38.46</v>
    <v>1.4217</v>
    <v>-1.47</v>
    <v>-2.87E-2</v>
    <v>0.05</v>
    <v>1.005E-3</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23800</v>
    <v>Nasdaq Stock Market</v>
    <v>XNAS</v>
    <v>XNAS</v>
    <v>2211 N 1st St, SAN JOSE, CA, 95131 US</v>
    <v>50.88</v>
    <v>Professional &amp; Commercial Services</v>
    <v>Stock</v>
    <v>46135.949542314062</v>
    <v>58</v>
    <v>49.17</v>
    <v>44758781500</v>
    <v>PAYPAL HOLDINGS, INC.</v>
    <v>PAYPAL HOLDINGS, INC.</v>
    <v>50.744999999999997</v>
    <v>9.4487000000000005</v>
    <v>51.22</v>
    <v>49.75</v>
    <v>49.8</v>
    <v>899674000</v>
    <v>PYPL</v>
    <v>PAYPAL HOLDINGS, INC. (XNAS:PYPL)</v>
    <v>11578850</v>
    <v>15600303</v>
    <v>2015</v>
  </rv>
  <rv s="2">
    <v>59</v>
  </rv>
  <rv s="0">
    <v>https://www.bing.com/financeapi/forcetrigger?t=c2mtww&amp;q=XNAS%3aHOOD&amp;form=skydnc</v>
    <v>Learn more on Bing</v>
  </rv>
  <rv s="1">
    <v>0</v>
    <v>ROBINHOOD MARKETS, INC. (XNAS:HOOD)</v>
    <v>2</v>
    <v>3</v>
    <v>Finance</v>
    <v>4</v>
    <v>en-US</v>
    <v>c2mtww</v>
    <v>268435456</v>
    <v>1</v>
    <v>Powered by Refinitiv</v>
    <v>153.85990000000001</v>
    <v>44.27</v>
    <v>2.4866000000000001</v>
    <v>-4.8899999999999997</v>
    <v>-5.5298E-2</v>
    <v>1.1000000000000001</v>
    <v>1.3167E-2</v>
    <v>USD</v>
    <v>Robinhood Markets, Inc. is creating a financial services platform for everyone, regardless of their wealth, income, or background. It uses technology to provide access to the financial system. Its offerings include Brokerage, Robinhood Crypto, Custody, Robinhood Wallet, Robinhood Gold, and Robinhood Gold Card. Its Brokerage services include investing, options trading, fractional trading, recurring investment, access to investing on margin, fully paid securities lending, cash sweep, instant withdrawals, Robinhood retirement, 24-hour market, joint investing accounts, and event contracts. It also offers a variety of ways for its customers to grow their financial knowledge, including Robinhood Learn, In-App Education, Newsfeeds, Sherwood Snacks, and Crypto Learn and Earn. Its self-clearing system, order routing system, data platform, and other back-end infrastructure deliver the capabilities that allow its customers to focus on investing, saving and spending.</v>
    <v>2900</v>
    <v>Nasdaq Stock Market</v>
    <v>XNAS</v>
    <v>XNAS</v>
    <v>85 Willow Road, MENLO PARK, CA, 94025 US</v>
    <v>87.61</v>
    <v>Financial Technology (Fintech) &amp; Infrastructure</v>
    <v>Stock</v>
    <v>46135.951516562498</v>
    <v>61</v>
    <v>81.745000000000005</v>
    <v>75211763736</v>
    <v>ROBINHOOD MARKETS, INC.</v>
    <v>ROBINHOOD MARKETS, INC.</v>
    <v>86.694999999999993</v>
    <v>46.732999999999997</v>
    <v>88.43</v>
    <v>83.54</v>
    <v>84.64</v>
    <v>900308400</v>
    <v>HOOD</v>
    <v>ROBINHOOD MARKETS, INC. (XNAS:HOOD)</v>
    <v>33397922</v>
    <v>31735140</v>
    <v>2013</v>
  </rv>
  <rv s="2">
    <v>62</v>
  </rv>
  <rv s="0">
    <v>https://www.bing.com/financeapi/forcetrigger?t=a1yvxm&amp;q=XNYS%3aNVO&amp;form=skydnc</v>
    <v>Learn more on Bing</v>
  </rv>
  <rv s="1">
    <v>0</v>
    <v>Novo Nordisk A/S (XNYS:NVO)</v>
    <v>2</v>
    <v>3</v>
    <v>Finance</v>
    <v>4</v>
    <v>en-US</v>
    <v>a1yvxm</v>
    <v>268435456</v>
    <v>1</v>
    <v>Powered by Refinitiv</v>
    <v>81.44</v>
    <v>35.119999999999997</v>
    <v>0.72030000000000005</v>
    <v>-0.63500000000000001</v>
    <v>-1.6220000000000002E-2</v>
    <v>0.09</v>
    <v>2.336E-3</v>
    <v>USD</v>
    <v>Novo Nordisk A/S is a global healthcare company engaged in diabetes care. The Company is also engaged in the discovery, development, manufacturing and marketing of pharmaceutical products. The Company operates through two business segments: diabetes and obesity care, and biopharmaceuticals. The Company's diabetes and obesity care segment covers insulin, GLP-1, other protein-related products, such as glucagon, protein-related delivery systems and needles, and oral anti-diabetic drugs. The Company's biopharmaceuticals segment covers the therapy areas of hemophilia care, growth hormone therapy and hormone replacement therapy. The Company also offers Saxenda product to treat obesity. It offers a range of products, including NovoLog/NovoRapid; NovoLog Mix/NovoMix; Prandin/NovoNorm; NovoSeven; Norditropin, and Vagifem. As of December 31, 2016, it marketed its products in over 180 countries. Its regional structure consists of two commercial units: North America and International Operations.</v>
    <v>68794</v>
    <v>New York Stock Exchange</v>
    <v>XNYS</v>
    <v>XNYS</v>
    <v>Novo Alle 1, BAGSVAERD, 2880 DK</v>
    <v>39.200000000000003</v>
    <v>Pharmaceuticals</v>
    <v>Stock</v>
    <v>46135.951482337499</v>
    <v>64</v>
    <v>38.020000000000003</v>
    <v>130570779920</v>
    <v>Novo Nordisk A/S</v>
    <v>Novo Nordisk A/S</v>
    <v>39.130000000000003</v>
    <v>10.634499999999999</v>
    <v>39.15</v>
    <v>38.515000000000001</v>
    <v>38.61</v>
    <v>3390128000</v>
    <v>NVO</v>
    <v>Novo Nordisk A/S (XNYS:NVO)</v>
    <v>12254113</v>
    <v>17133278</v>
    <v>1931</v>
  </rv>
  <rv s="2">
    <v>65</v>
  </rv>
  <rv s="0">
    <v>https://www.bing.com/financeapi/forcetrigger?t=a1mpqh&amp;q=XNYS%3aABBV&amp;form=skydnc</v>
    <v>Learn more on Bing</v>
  </rv>
  <rv s="1">
    <v>0</v>
    <v>ABBVIE INC. (XNYS:ABBV)</v>
    <v>2</v>
    <v>3</v>
    <v>Finance</v>
    <v>4</v>
    <v>en-US</v>
    <v>a1mpqh</v>
    <v>268435456</v>
    <v>1</v>
    <v>Powered by Refinitiv</v>
    <v>244.81</v>
    <v>174.4</v>
    <v>0.27889999999999998</v>
    <v>0.34</v>
    <v>1.696E-3</v>
    <v>0.05</v>
    <v>2.4879999999999998E-4</v>
    <v>USD</v>
    <v>AbbVie Inc. is a global, diversified research-based biopharmaceutical company. It is engaged in research and development, manufacturing, commercialization and sale of medicines and therapies. Its product portfolio includes Immunology, Oncology, Aesthetics, Neuroscience, Eye Care and Other Key Products. Immunology products include rheumatology, dermatology and gastroenterology. Oncology products include Imbruvica, Venclexta/Venclyxto, Elahere and Epkinly. Aesthetics portfolio consists of facial injectables, plastics and regenerative medicine, body contouring, and skincare products. Its Neuroscience products include Botox Therapeutic, Vraylar, Duopa and Duodopa, Ubrelvy, and Qulipta. Eye Care products include Ozurdex, Lumigan/Ganfort, Alphagan/Combigan, Restasis, and other eye care. Other key products include Mavyret/Maviret, Creon, and Linzess/Constella. Its investigational candidate, bretisilocin, is for the treatment of patients with moderate-to-severe major depressive disorder (MDD).</v>
    <v>57000</v>
    <v>New York Stock Exchange</v>
    <v>XNYS</v>
    <v>XNYS</v>
    <v>1 N Waukegan Rd, NORTH CHICAGO, IL, 60064 US</v>
    <v>202.76</v>
    <v>Pharmaceuticals</v>
    <v>Stock</v>
    <v>46135.948324652345</v>
    <v>67</v>
    <v>200.405</v>
    <v>355238160080</v>
    <v>ABBVIE INC.</v>
    <v>ABBVIE INC.</v>
    <v>201.05</v>
    <v>85.090900000000005</v>
    <v>200.5</v>
    <v>200.84</v>
    <v>201</v>
    <v>1768762000</v>
    <v>ABBV</v>
    <v>ABBVIE INC. (XNYS:ABBV)</v>
    <v>7460892</v>
    <v>7365717</v>
    <v>2012</v>
  </rv>
  <rv s="2">
    <v>68</v>
  </rv>
  <rv s="0">
    <v>http://es.wikipedia.org/wiki/Adobe_(empresa)</v>
    <v>Wikipedia</v>
  </rv>
  <rv s="4">
    <v>21</v>
    <v>70</v>
  </rv>
  <rv s="5">
    <v>13</v>
    <v>https://www.bing.com/th?id=AMMS_503c684ccc667ad525fe1d703881df2c&amp;qlt=95</v>
    <v>71</v>
    <v>0</v>
    <v>https://www.bing.com/images/search?form=xlimg&amp;q=adobe+systems</v>
    <v>Image of ADOBE INC.</v>
  </rv>
  <rv s="0">
    <v>https://www.bing.com/financeapi/forcetrigger?t=a1mv7w&amp;q=XNAS%3aADBE&amp;form=skydnc</v>
    <v>Learn more on Bing</v>
  </rv>
  <rv s="6">
    <v>9</v>
    <v>ADOBE INC. (XNAS:ADBE)</v>
    <v>11</v>
    <v>12</v>
    <v>Finance</v>
    <v>4</v>
    <v>en-US</v>
    <v>a1mv7w</v>
    <v>268435456</v>
    <v>1</v>
    <v>Powered by Refinitiv</v>
    <v>422.95</v>
    <v>224.13</v>
    <v>1.4664999999999999</v>
    <v>-16.96</v>
    <v>-6.6265999999999992E-2</v>
    <v>0.77</v>
    <v>3.222E-3</v>
    <v>USD</v>
    <v>Adobe Inc. is a global technology company. The Company's products, services and solutions are used around the world to imagine, create, manage, deliver, measure, optimize and engage with content across surfaces and fuel digital experiences. Its segments include Digital Media, Digital Experience, and Publishing and Advertising. The Digital Media segment is centered around Adobe Creative Cloud and Adobe Document Cloud, which include Adobe Express, Adobe Firefly, Photoshop and other products, offering a variety of tools for creative professionals, communicators and other consumers. The Digital Experience segment provides an integrated platform and set of products, services and solutions through Adobe Experience Cloud. The Publishing and Advertising segment contains legacy products and services. In addition, its Adobe GenStudio solution allows businesses to simplify their content supply chain process with generative artificial intelligence (AI) capabilities and intelligent automation.</v>
    <v>31360</v>
    <v>Nasdaq Stock Market</v>
    <v>XNAS</v>
    <v>XNAS</v>
    <v>345 Park Avenue, SAN JOSE, CA, 95110-2704 US</v>
    <v>246.54</v>
    <v>72</v>
    <v>Software &amp; IT Services</v>
    <v>Stock</v>
    <v>46135.951613517966</v>
    <v>73</v>
    <v>233.51499999999999</v>
    <v>96595716000</v>
    <v>ADOBE INC.</v>
    <v>ADOBE INC.</v>
    <v>244.88</v>
    <v>13.928800000000001</v>
    <v>255.94</v>
    <v>238.98</v>
    <v>239.75</v>
    <v>404200000</v>
    <v>ADBE</v>
    <v>ADOBE INC. (XNAS:ADBE)</v>
    <v>9603938</v>
    <v>5321884</v>
    <v>1997</v>
  </rv>
  <rv s="2">
    <v>74</v>
  </rv>
  <rv s="0">
    <v>https://www.bing.com/financeapi/forcetrigger?t=a1yjxm&amp;q=XNYS%3aNKE&amp;form=skydnc</v>
    <v>Learn more on Bing</v>
  </rv>
  <rv s="1">
    <v>0</v>
    <v>NIKE, INC. (XNYS:NKE)</v>
    <v>2</v>
    <v>3</v>
    <v>Finance</v>
    <v>4</v>
    <v>en-US</v>
    <v>a1yjxm</v>
    <v>268435456</v>
    <v>1</v>
    <v>Powered by Refinitiv</v>
    <v>80.165000000000006</v>
    <v>42.09</v>
    <v>1.1720999999999999</v>
    <v>-0.91500000000000004</v>
    <v>-2.0031E-2</v>
    <v>0.24</v>
    <v>5.3600000000000002E-3</v>
    <v>USD</v>
    <v>NIKE, Inc. is engaged in the designing, marketing and distributing of athletic footwear, apparel, equipment and accessories and services for sports and fitness activities. The Company's operating segments include North America; Europe, Middle East &amp; Africa (EMEA); Greater China; and Asia Pacific &amp; Latin America (APLA). It sells a line of equipment and accessories under the NIKE Brand name, including bags, socks, sport balls, eyewear, timepieces, digital devices, bats, gloves, protective equipment and other equipment designed for sports activities. It also designs products specifically for the Jordan Brand and Converse. The Jordan Brand designs, distributes and licenses athletic and casual footwear, apparel and accessories predominantly focused on basketball performance and culture using the Jumpman trademark. The Company also designs, distributes and licenses casual sneakers, apparel and accessories under the Chuck Taylor, All Star, One Star, Star Chevron and Jack Purcell trademarks.</v>
    <v>77800</v>
    <v>New York Stock Exchange</v>
    <v>XNYS</v>
    <v>XNYS</v>
    <v>One Bowerman Dr, BEAVERTON, OR, 97005-6453 US</v>
    <v>45.75</v>
    <v>Textiles &amp; Apparel</v>
    <v>Stock</v>
    <v>46135.95161392344</v>
    <v>76</v>
    <v>44.24</v>
    <v>66291906555</v>
    <v>NIKE, INC.</v>
    <v>NIKE, INC.</v>
    <v>45.58</v>
    <v>29.448699999999999</v>
    <v>45.68</v>
    <v>44.765000000000001</v>
    <v>45.02</v>
    <v>1480887000</v>
    <v>NKE</v>
    <v>NIKE, INC. (XNYS:NKE)</v>
    <v>17412966</v>
    <v>27212574</v>
    <v>1969</v>
  </rv>
  <rv s="2">
    <v>77</v>
  </rv>
  <rv s="0">
    <v>https://www.bing.com/financeapi/forcetrigger?t=a1ygoc&amp;q=XNAS%3aNFLX&amp;form=skydnc</v>
    <v>Learn more on Bing</v>
  </rv>
  <rv s="1">
    <v>0</v>
    <v>NETFLIX, INC. (XNAS:NFLX)</v>
    <v>2</v>
    <v>3</v>
    <v>Finance</v>
    <v>4</v>
    <v>en-US</v>
    <v>a1ygoc</v>
    <v>268435456</v>
    <v>1</v>
    <v>Powered by Refinitiv</v>
    <v>134.11500000000001</v>
    <v>75.010000000000005</v>
    <v>1.5745</v>
    <v>-0.42</v>
    <v>-4.5050000000000003E-3</v>
    <v>-7.8E-2</v>
    <v>-8.4029999999999999E-4</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16000</v>
    <v>Nasdaq Stock Market</v>
    <v>XNAS</v>
    <v>XNAS</v>
    <v>121 Albright Way, LOS GATOS, CA, 95032 US</v>
    <v>94.64</v>
    <v>Software &amp; IT Services</v>
    <v>Stock</v>
    <v>46135.951592580466</v>
    <v>79</v>
    <v>92.072999999999993</v>
    <v>390846270360</v>
    <v>NETFLIX, INC.</v>
    <v>NETFLIX, INC.</v>
    <v>94.06</v>
    <v>29.993200000000002</v>
    <v>93.24</v>
    <v>92.82</v>
    <v>92.742000000000004</v>
    <v>4210798000</v>
    <v>NFLX</v>
    <v>NETFLIX, INC. (XNAS:NFLX)</v>
    <v>36786169</v>
    <v>43563791</v>
    <v>1997</v>
  </rv>
  <rv s="2">
    <v>80</v>
  </rv>
  <rv s="7">
    <v>15</v>
    <v>iShares Bitcoin Trust (XNAS:IBIT)</v>
    <v>16</v>
    <v>17</v>
    <v>Finance</v>
    <v>8</v>
    <v>en-US</v>
    <v>cc5pdm</v>
    <v>268435456</v>
    <v>1</v>
    <v>Powered by Refinitiv</v>
    <v>71.819999999999993</v>
    <v>35.299999999999997</v>
    <v>-0.7</v>
    <v>-1.5642E-2</v>
    <v>0.37</v>
    <v>8.3999999999999995E-3</v>
    <v>USD</v>
    <v>Nasdaq Stock Market</v>
    <v>XNAS</v>
    <v>2.5000000000000001E-3</v>
    <v>44.61</v>
    <v>ETF</v>
    <v>46135.951605763279</v>
    <v>43.62</v>
    <v>53052862326.379997</v>
    <v>iShares Bitcoin Trust</v>
    <v>43.99</v>
    <v>44.75</v>
    <v>44.05</v>
    <v>44.42</v>
    <v>IBIT</v>
    <v>iShares Bitcoin Trust (XNAS:IBIT)</v>
    <v>39989680</v>
    <v>46998662</v>
  </rv>
  <rv s="2">
    <v>82</v>
  </rv>
  <rv s="0">
    <v>https://www.bing.com/financeapi/forcetrigger?t=a1ruc7&amp;q=XNYS%3aEL&amp;form=skydnc</v>
    <v>Learn more on Bing</v>
  </rv>
  <rv s="8">
    <v>18</v>
    <v>THE ESTEE LAUDER COMPANIES INC. (XNYS:EL)</v>
    <v>2</v>
    <v>19</v>
    <v>Finance</v>
    <v>14</v>
    <v>en-US</v>
    <v>a1ruc7</v>
    <v>268435456</v>
    <v>1</v>
    <v>Powered by Refinitiv</v>
    <v>121.63500000000001</v>
    <v>56.18</v>
    <v>1.2222999999999999</v>
    <v>-0.26</v>
    <v>-3.392E-3</v>
    <v>-0.2</v>
    <v>-2.6179999999999997E-3</v>
    <v>USD</v>
    <v>The Estee Lauder Companies Inc. is a manufacturer, marketer and seller of skin care, makeup, fragrance and hair care products. Its products are sold in over 150 countries and territories under a number of brand names, including Estee Lauder, Aramis, Clinique, Lab Series, Origins, M.A.C, Bobbi Brown Cosmetics, La Mer, Aveda, Jo Malone London, Bumble and bumble, Darphin Paris, TOM FORD, Smashbox, AERIN Beauty, Le Labo, Editions de Parfums Frederic Malle, GLAMGLOW, Kilian Paris, Too Faced, Dr.Jart+, and the DECIEM family of brands, including The Ordinary and NIOD, and BALMAIN Beauty. It is a licensee for fragrances, cosmetics and/or related products for AERIN, BALMAIN, and Dr. Andrew Weil. Its skin care products include moisturizers, serums, cleansers, toners, exfoliators, facial masks, body care, sun care products and others. Its makeup products include foundations, powders, concealers and setting sprays, lipsticks, lip liners and lip glosses, and mascaras, eyeshadows and eyeliners.</v>
    <v>57000</v>
    <v>New York Stock Exchange</v>
    <v>XNYS</v>
    <v>XNYS</v>
    <v>767 Fifth Avenue, NEW YORK, NY, 10153 US</v>
    <v>77.2</v>
    <v>Personal &amp; Household Products &amp; Services</v>
    <v>Stock</v>
    <v>46135.940481330472</v>
    <v>84</v>
    <v>74.680000000000007</v>
    <v>27635950440</v>
    <v>THE ESTEE LAUDER COMPANIES INC.</v>
    <v>THE ESTEE LAUDER COMPANIES INC.</v>
    <v>76.47</v>
    <v>76.66</v>
    <v>76.400000000000006</v>
    <v>76.2</v>
    <v>361727100</v>
    <v>EL</v>
    <v>THE ESTEE LAUDER COMPANIES INC. (XNYS:EL)</v>
    <v>2502486</v>
    <v>5443430</v>
    <v>1976</v>
  </rv>
  <rv s="2">
    <v>85</v>
  </rv>
  <rv s="0">
    <v>https://www.bing.com/financeapi/forcetrigger?t=c1tm3m&amp;q=XNAS%3aHNST&amp;form=skydnc</v>
    <v>Learn more on Bing</v>
  </rv>
  <rv s="1">
    <v>0</v>
    <v>THE HONEST COMPANY, INC. (XNAS:HNST)</v>
    <v>2</v>
    <v>3</v>
    <v>Finance</v>
    <v>4</v>
    <v>en-US</v>
    <v>c1tm3m</v>
    <v>268435456</v>
    <v>1</v>
    <v>Powered by Refinitiv</v>
    <v>5.5452000000000004</v>
    <v>2.0699999999999998</v>
    <v>2.1680000000000001</v>
    <v>-0.06</v>
    <v>-1.7142999999999999E-2</v>
    <v>-7.0000000000000007E-2</v>
    <v>-2.0348999999999999E-2</v>
    <v>USD</v>
    <v>The Honest Company, Inc. is a personal care company focused on creating cleanly-formulated and sustainably designed products. It offers personal care products, including diapers, wipes and adult facial care (including skin and color cosmetics). Primary components of its diapers include responsibly sourced, plant-based fluff pulp and other plant-derived materials. Its diapers have a modern and efficient design that uses less material. Its Clean Conscious wipes are compostable and plant-based, made with over 99% water and gentle on sensitive skin. It has a line of bath and body care products for babies, and adult facial care products designed for a range of skin types and concerns. Its ingredients and formulas are toxicologist-audited for potential health concerns. It offers baby clothing made with organic cotton, family flushable wipes, sanitizing wipes and hand sanitizer made with plant-based ingredients. Its distribution network includes two warehouses in Nevada and Pennsylvania.</v>
    <v>174</v>
    <v>Nasdaq Stock Market</v>
    <v>XNAS</v>
    <v>XNAS</v>
    <v>12130 MILLENNIUM DR., #500, LOS ANGELES, CA, 90094 US</v>
    <v>3.5</v>
    <v>Specialty Retailers</v>
    <v>Stock</v>
    <v>46135.951518738279</v>
    <v>87</v>
    <v>3.3519999999999999</v>
    <v>386421392</v>
    <v>THE HONEST COMPANY, INC.</v>
    <v>THE HONEST COMPANY, INC.</v>
    <v>3.48</v>
    <v>0</v>
    <v>3.5</v>
    <v>3.44</v>
    <v>3.37</v>
    <v>112331800</v>
    <v>HNST</v>
    <v>THE HONEST COMPANY, INC. (XNAS:HNST)</v>
    <v>1343512</v>
    <v>1555345</v>
    <v>2012</v>
  </rv>
  <rv s="2">
    <v>88</v>
  </rv>
  <rv s="0">
    <v>https://www.bing.com/financeapi/forcetrigger?t=bq5ppr&amp;q=XNYS%3aRVLV&amp;form=skydnc</v>
    <v>Learn more on Bing</v>
  </rv>
  <rv s="1">
    <v>0</v>
    <v>REVOLVE GROUP, INC. (XNYS:RVLV)</v>
    <v>2</v>
    <v>3</v>
    <v>Finance</v>
    <v>14</v>
    <v>en-US</v>
    <v>bq5ppr</v>
    <v>268435456</v>
    <v>1</v>
    <v>Powered by Refinitiv</v>
    <v>31.68</v>
    <v>16.8</v>
    <v>1.8452</v>
    <v>-0.99</v>
    <v>-3.6079E-2</v>
    <v>0.51</v>
    <v>1.9282000000000001E-2</v>
    <v>USD</v>
    <v>Revolve Group, Inc. is a fashion retailer for millennial and generation Z consumers. The Company is an online retailer and fashion brand. Through its Websites and mobile applications, it delivers a customer experience with a curated merchandise offering. The Company sells merchandise through two segments: REVOLVE and FWRD. REVOLVE segment offers an assortment of premium apparel, footwear, beauty, accessories and home products from emerging, established and owned brands. FWRD segment offers an assortment of curated and elevated iconic and emerging luxury brands. Its platform connects a community of consumers, global fashion influencers, and emerging, established, and owned brands. The Company offers products under various brands, such as Lovers and Friends, GRLFRND, NBD, Camila Coelho, Alexandre Vauthier, and House of Harlow 1960. Its customers can engage with the Company in approximately 12 languages and pay in over 50 currencies.</v>
    <v>1664</v>
    <v>New York Stock Exchange</v>
    <v>XNYS</v>
    <v>XNYS</v>
    <v>12889 Moore St, CERRITOS, CA, 90703 US</v>
    <v>27.61</v>
    <v>Diversified Retail</v>
    <v>Stock</v>
    <v>46135.937500022657</v>
    <v>90</v>
    <v>26.23</v>
    <v>1889319797</v>
    <v>REVOLVE GROUP, INC.</v>
    <v>REVOLVE GROUP, INC.</v>
    <v>27.35</v>
    <v>30.895900000000001</v>
    <v>27.44</v>
    <v>26.45</v>
    <v>26.96</v>
    <v>71429860</v>
    <v>RVLV</v>
    <v>REVOLVE GROUP, INC. (XNYS:RVLV)</v>
    <v>864262</v>
    <v>782161</v>
    <v>2012</v>
  </rv>
  <rv s="2">
    <v>91</v>
  </rv>
  <rv s="0">
    <v>https://www.bing.com/financeapi/forcetrigger?t=a1qc1h&amp;q=XNYS%3aCRM&amp;form=skydnc</v>
    <v>Learn more on Bing</v>
  </rv>
  <rv s="1">
    <v>0</v>
    <v>SALESFORCE, INC. (XNYS:CRM)</v>
    <v>2</v>
    <v>3</v>
    <v>Finance</v>
    <v>4</v>
    <v>en-US</v>
    <v>a1qc1h</v>
    <v>268435456</v>
    <v>1</v>
    <v>Powered by Refinitiv</v>
    <v>296.05</v>
    <v>163.52000000000001</v>
    <v>1.2122999999999999</v>
    <v>-16.59</v>
    <v>-8.7408E-2</v>
    <v>1.409</v>
    <v>8.1300000000000001E-3</v>
    <v>USD</v>
    <v>Salesforce, Inc. is a customer relationship management (CRM) technology company. Its artificial intelligence (AI) powered Agentforce 360 Platform offers sales, service, marketing, commerce, collaboration, data management, integration, analytics, and information technology (IT) service solutions. It enables customers to build and deploy digital labor for employees and customers, leveraging autonomous AI agents across business functions. Its service offerings include Agentforce Sales, Agentforce Service, Agentforce 360 Platform, Slack and Others. The Agentforce Sales provides sales capabilities and tools built for organizations across prospecting, sales engagement, team collaboration, sales analytics and AI, sales programs, sales performance, partner management, and revenue and orders. The Agentforce Service provides field service solutions that enable companies to connect service agents, dispatchers and mobile employees through platform to schedule, dispatch and manage jobs.</v>
    <v>83334</v>
    <v>New York Stock Exchange</v>
    <v>XNYS</v>
    <v>XNYS</v>
    <v>SALESFORCE TOWER, 415 MISSION STREET 3RD FL, SAN FRANCISCO, CA, 94105 US</v>
    <v>178.87</v>
    <v>Software &amp; IT Services</v>
    <v>Stock</v>
    <v>46135.951243842188</v>
    <v>93</v>
    <v>170.65</v>
    <v>141695081377</v>
    <v>SALESFORCE, INC.</v>
    <v>SALESFORCE, INC.</v>
    <v>177.56</v>
    <v>22.17</v>
    <v>189.8</v>
    <v>173.21</v>
    <v>174.709</v>
    <v>818053700</v>
    <v>CRM</v>
    <v>SALESFORCE, INC. (XNYS:CRM)</v>
    <v>22706928</v>
    <v>13619977</v>
    <v>1999</v>
  </rv>
  <rv s="2">
    <v>94</v>
  </rv>
  <rv s="0">
    <v>https://www.bing.com/financeapi/forcetrigger?t=brg5u2&amp;q=XNYS%3aHIMS&amp;form=skydnc</v>
    <v>Learn more on Bing</v>
  </rv>
  <rv s="1">
    <v>0</v>
    <v>HIMS &amp; HERS HEALTH, INC. (XNYS:HIMS)</v>
    <v>2</v>
    <v>3</v>
    <v>Finance</v>
    <v>4</v>
    <v>en-US</v>
    <v>brg5u2</v>
    <v>268435456</v>
    <v>1</v>
    <v>Powered by Refinitiv</v>
    <v>70.430000000000007</v>
    <v>13.74</v>
    <v>2.5003000000000002</v>
    <v>-0.83</v>
    <v>-2.8611000000000001E-2</v>
    <v>0.06</v>
    <v>2.1310000000000001E-3</v>
    <v>USD</v>
    <v>Hims &amp; Hers Health, Inc. provides a consumer-first platform, which helps customers to fulfill their health and wellness needs. Its platform includes access to a provider network, a clinically focused electronic medical record system, digital prescriptions, cloud pharmacy fulfillment, and personalization capabilities. Its digital platform enables access to treatments for a range of chronic conditions, including those related to sexual health, hair loss, dermatology, mental health, and weight loss. It connects patients to licensed healthcare professionals who can prescribe medications when appropriate and prescriptions are fulfilled online through licensed pharmacies on a subscription basis. It also offers access to a range of health and wellness products designed to meet individual needs, which can include curated prescription and non-prescription products. Through its mobile applications, consumers can access a range of educational programs, wellness content, and other services.</v>
    <v>2442</v>
    <v>New York Stock Exchange</v>
    <v>XNYS</v>
    <v>XNYS</v>
    <v>2269 Chestnut St, #523, SAN FRANCISCO, CA, 94123 US</v>
    <v>31.44</v>
    <v>Healthcare Providers &amp; Services</v>
    <v>Stock</v>
    <v>46135.951608714844</v>
    <v>96</v>
    <v>27.03</v>
    <v>6423315384</v>
    <v>HIMS &amp; HERS HEALTH, INC.</v>
    <v>HIMS &amp; HERS HEALTH, INC.</v>
    <v>30.33</v>
    <v>54.899700000000003</v>
    <v>29.01</v>
    <v>28.18</v>
    <v>28.21</v>
    <v>227938800</v>
    <v>HIMS</v>
    <v>HIMS &amp; HERS HEALTH, INC. (XNYS:HIMS)</v>
    <v>44839680</v>
    <v>32036920</v>
    <v>2021</v>
  </rv>
  <rv s="2">
    <v>97</v>
  </rv>
  <rv s="9">
    <v>20</v>
    <v>CIRCLE INTERNET GROUP, INC. (XNYS:CRCL)</v>
    <v>21</v>
    <v>3</v>
    <v>Finance</v>
    <v>4</v>
    <v>en-US</v>
    <v>cgymxm</v>
    <v>268435456</v>
    <v>1</v>
    <v>Powered by Refinitiv</v>
    <v>298.99</v>
    <v>49.9</v>
    <v>1.099</v>
    <v>-4.24</v>
    <v>-4.0628999999999998E-2</v>
    <v>0.39</v>
    <v>3.9000000000000003E-3</v>
    <v>USD</v>
    <v>Circle Internet Group, Inc. is a global financial technology company. It operates as a platform, network, and market infrastructure for stablecoin and blockchain applications and the issuer of a United States dollar-denominated stablecoin, USDC and a euro-denominated stablecoin, EURC (collectively Circle stablecoins). It provides a stablecoin network and a range of blockchain-specific software infrastructure. Its product offerings include Stablecoins, Developer Services, Integration Services, and Tokenized Funds. Developer Services develops an array of developer-ready and enterprise-grade infrastructure services that developers can plug into their own applications. It connects and integrates products, such as USDC across blockchain networks. Its Tokenized Funds are regulated yield-bearing investments for collateral use in capital markets. It also offers liquidity services, which provides institutional minting, reserving, redemption, and foreign exchange services for Circle stablecoins.</v>
    <v>1100</v>
    <v>New York Stock Exchange</v>
    <v>XNYS</v>
    <v>XNYS</v>
    <v>One World Trade Center, NEW YORK, NY, 10007 US</v>
    <v>103.65</v>
    <v>Financial Technology (Fintech) &amp; Infrastructure</v>
    <v>Stock</v>
    <v>46135.951316492967</v>
    <v>97.9</v>
    <v>24750705248</v>
    <v>CIRCLE INTERNET GROUP, INC.</v>
    <v>CIRCLE INTERNET GROUP, INC.</v>
    <v>101.22</v>
    <v>0</v>
    <v>104.36</v>
    <v>100.12</v>
    <v>100.4</v>
    <v>247210400</v>
    <v>CRCL</v>
    <v>CIRCLE INTERNET GROUP, INC. (XNYS:CRCL)</v>
    <v>7303153</v>
    <v>15705422</v>
    <v>2024</v>
  </rv>
  <rv s="2">
    <v>99</v>
  </rv>
  <rv s="0">
    <v>https://www.bing.com/financeapi/forcetrigger?t=c2mtim&amp;q=XNAS%3aDUOL&amp;form=skydnc</v>
    <v>Learn more on Bing</v>
  </rv>
  <rv s="1">
    <v>0</v>
    <v>DUOLINGO, INC. (XNAS:DUOL)</v>
    <v>2</v>
    <v>3</v>
    <v>Finance</v>
    <v>4</v>
    <v>en-US</v>
    <v>c2mtim</v>
    <v>268435456</v>
    <v>1</v>
    <v>Powered by Refinitiv</v>
    <v>544.92999999999995</v>
    <v>87.89</v>
    <v>0.87160000000000004</v>
    <v>-5.23</v>
    <v>-4.9564000000000004E-2</v>
    <v>0.21</v>
    <v>2.0939999999999999E-3</v>
    <v>USD</v>
    <v>Duolingo, Inc. is a technology company. The Company is engaged in offering a mobile learning platform, as well as a digital English language proficiency assessment exam. It operates a freemium business model, namely, the app and the Website are accessible free of charge, although Duolingo also offers premium services for a subscription fee. Its solutions consist of the Duolingo App, Super Duolingo, Duolingo Max, Duolingo English Test: AI-Driven Language Assessment, Duolingo for Schools, and Duolingo ABC. The Duolingo App offers courses in over 40 different languages, including Spanish, English, French, German, Italian, Portuguese, Japanese and Chinese. Duolingo can also be accessed on desktop computers via a Web browser. Its subscription offering, Super Duolingo, offers learners additional features to enhance their learning experience. The Duolingo English Test is an online, on-demand, high-stakes English proficiency assessment. It also operates an animation and motion design studio.</v>
    <v>900</v>
    <v>Nasdaq Stock Market</v>
    <v>XNAS</v>
    <v>XNAS</v>
    <v>5900 PENN AVE, SECOND FLOOR, PITTSBURGH, PA, 15206 US</v>
    <v>104.49</v>
    <v>Software &amp; IT Services</v>
    <v>Stock</v>
    <v>46135.951593818747</v>
    <v>101</v>
    <v>98.3</v>
    <v>4691769788</v>
    <v>DUOLINGO, INC.</v>
    <v>DUOLINGO, INC.</v>
    <v>103.84</v>
    <v>11.8294</v>
    <v>105.52</v>
    <v>100.29</v>
    <v>100.5</v>
    <v>46782030</v>
    <v>DUOL</v>
    <v>DUOLINGO, INC. (XNAS:DUOL)</v>
    <v>1495716</v>
    <v>1663589</v>
    <v>2011</v>
  </rv>
  <rv s="2">
    <v>102</v>
  </rv>
  <rv s="0">
    <v>https://www.bing.com/financeapi/forcetrigger?t=aw3oh7&amp;q=XNYS%3aFUBO&amp;form=skydnc</v>
    <v>Learn more on Bing</v>
  </rv>
  <rv s="1">
    <v>0</v>
    <v>FUBOTV INC. (XNYS:FUBO)</v>
    <v>2</v>
    <v>3</v>
    <v>Finance</v>
    <v>4</v>
    <v>en-US</v>
    <v>aw3oh7</v>
    <v>268435456</v>
    <v>1</v>
    <v>Powered by Refinitiv</v>
    <v>56.64</v>
    <v>8.31</v>
    <v>2.5741999999999998</v>
    <v>-0.755</v>
    <v>-5.7899000000000006E-2</v>
    <v>8.9999999999999998E-4</v>
    <v>7.3350000000000008E-5</v>
    <v>USD</v>
    <v>FuboTV Inc. is a live television (TV) streaming company. The Company offers subscribers access to tens of thousands of live sporting events annually, alongside news and entertainment content, both live and on demand. It offers consumers a broad set of sports, including more than 55,000 live sporting events, and entertainment-focused programming offerings from Fubo and Hulu + Live TV. It owns Hulu + Live TV (entertainment), Fubo (sports) and Molotov (entertainment and sports), which stream in markets around the globe. FuboTV Inc. is an affiliate of The Walt Disney Company. The Company's platform is designed to enable customers to access content through streaming devices and on Smart TVs, mobile phones, tablets, and computers. Its platform provides with a broad suite of features and personalization capabilities, such as multi-channel viewing capabilities, favorites lists and a recommendation engine, as well as 4K streaming and Cloud DVR offerings.</v>
    <v>590</v>
    <v>New York Stock Exchange</v>
    <v>XNYS</v>
    <v>XNYS</v>
    <v>1290 Avenue Of The Americas, New York, NEW YORK, NY, 10104 US</v>
    <v>13.15</v>
    <v>Software &amp; IT Services</v>
    <v>Stock</v>
    <v>46135.948652198436</v>
    <v>104</v>
    <v>12.12</v>
    <v>1331515867</v>
    <v>FUBOTV INC.</v>
    <v>FUBOTV INC.</v>
    <v>13.11</v>
    <v>2.2585999999999999</v>
    <v>13.04</v>
    <v>12.285</v>
    <v>12.270899999999999</v>
    <v>108385500</v>
    <v>FUBO</v>
    <v>FUBOTV INC. (XNYS:FUBO)</v>
    <v>1218160</v>
    <v>2589783</v>
    <v>2025</v>
  </rv>
  <rv s="2">
    <v>105</v>
  </rv>
  <rv s="9">
    <v>20</v>
    <v>CAVA GROUP, INC. (XNYS:CAVA)</v>
    <v>21</v>
    <v>3</v>
    <v>Finance</v>
    <v>4</v>
    <v>en-US</v>
    <v>ca26qh</v>
    <v>268435456</v>
    <v>1</v>
    <v>Powered by Refinitiv</v>
    <v>101.5</v>
    <v>43.41</v>
    <v>1.992</v>
    <v>-3.68</v>
    <v>-3.8036E-2</v>
    <v>0.51</v>
    <v>5.4769999999999992E-3</v>
    <v>USD</v>
    <v>CAVA Group, Inc. is a category-defining Mediterranean fast-casual restaurant brand. The Company’s Mediterranean cuisine unites taste and health, with a menu that features chef-curated and customizable bowls and pitas. Its dips, spreads, and dressings are centrally produced and sold in grocery stores. Its menu offers a range of dietary preferences, from hearty and indulgent to vegan, vegetarian, gluten-free, dairy-free, paleo, keto, and nut-free diets. Its guests can choose a chef-curated meal or a build-your-own-bowl or pita using its 38 ingredients with over 17.4 billion combinations. It has developed a multi-channel experience that consists of in-restaurant dining, digital pick-up, drive-thru pick-up in select restaurants, delivery, catering, and consumer packaged goods offerings, fully supported by its digital infrastructure. It operates two production facilities: one in Maryland and one in Virginia. It operates in approximately 26 states and the District of Columbia.</v>
    <v>12900</v>
    <v>New York Stock Exchange</v>
    <v>XNYS</v>
    <v>XNYS</v>
    <v>14 RIDGE SQUARE NW, SUITE 500, WASHINGTON, DC, 20016 US</v>
    <v>96.57</v>
    <v>Hotels &amp; Entertainment Services</v>
    <v>Stock</v>
    <v>46135.949536839842</v>
    <v>92.84</v>
    <v>10831281846</v>
    <v>CAVA GROUP, INC.</v>
    <v>CAVA GROUP, INC.</v>
    <v>95.3</v>
    <v>172.7037</v>
    <v>96.75</v>
    <v>93.07</v>
    <v>93.62</v>
    <v>116377800</v>
    <v>CAVA</v>
    <v>CAVA GROUP, INC. (XNYS:CAVA)</v>
    <v>3278285</v>
    <v>2774826</v>
    <v>2015</v>
  </rv>
  <rv s="2">
    <v>107</v>
  </rv>
  <rv s="0">
    <v>https://www.bing.com/financeapi/forcetrigger?t=bwyo5r&amp;q=XNAS%3aGRAB&amp;form=skydnc</v>
    <v>Learn more on Bing</v>
  </rv>
  <rv s="1">
    <v>0</v>
    <v>GRAB HOLDINGS LIMITED (XNAS:GRAB)</v>
    <v>2</v>
    <v>3</v>
    <v>Finance</v>
    <v>4</v>
    <v>en-US</v>
    <v>bwyo5r</v>
    <v>268435456</v>
    <v>1</v>
    <v>Powered by Refinitiv</v>
    <v>6.62</v>
    <v>3.48</v>
    <v>0.9839</v>
    <v>-0.1</v>
    <v>-2.4631E-2</v>
    <v>0.02</v>
    <v>5.0509999999999999E-3</v>
    <v>USD</v>
    <v>Grab Holdings Limited is a superapp in Southeast Asia, operating across the deliveries, mobility and digital financial services sectors. Its deliveries platform connects its driver and merchant partners with consumers to create a local logistics platform, facilitating on-demand and scheduled delivery of daily necessities. It operates supermarkets in Malaysia under Jaya Grocer and Everrise. Its mobility offerings connect its driver-partners with consumers seeking rides across a variety of multi-modal mobility options including private cars, taxis, motorcycles in certain countries, and shared mobility options such as carpooling in selected markets. Its financial services offerings include digital solutions offered by and with its partners to address the financial needs of driver- and merchant-partners and consumers. GrabMaps is its mapping and location-based service. It serves countries such as Cambodia, Indonesia, Malaysia, Myanmar, Philippines, Singapore, Thailand, and Vietnam.</v>
    <v>12012</v>
    <v>Nasdaq Stock Market</v>
    <v>XNAS</v>
    <v>XNAS</v>
    <v>3 Media Close, #01-03/06, 138498 SG</v>
    <v>4.05</v>
    <v>Software &amp; IT Services</v>
    <v>Stock</v>
    <v>46135.950409316407</v>
    <v>109</v>
    <v>3.9</v>
    <v>16237908720</v>
    <v>GRAB HOLDINGS LIMITED</v>
    <v>GRAB HOLDINGS LIMITED</v>
    <v>4.05</v>
    <v>63.9773</v>
    <v>4.0599999999999996</v>
    <v>3.96</v>
    <v>3.98</v>
    <v>4100482000</v>
    <v>GRAB</v>
    <v>GRAB HOLDINGS LIMITED (XNAS:GRAB)</v>
    <v>42224242</v>
    <v>54220102</v>
    <v>2021</v>
  </rv>
  <rv s="2">
    <v>110</v>
  </rv>
</rvData>
</file>

<file path=xl/richData/rdrichvaluestructure.xml><?xml version="1.0" encoding="utf-8"?>
<rvStructures xmlns="http://schemas.microsoft.com/office/spreadsheetml/2017/richdata" count="10">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Change"/>
    <k n="Change (%)"/>
    <k n="Change (Extended hours)"/>
    <k n="Change % (Extended hours)"/>
    <k n="Currency" t="s"/>
    <k n="Exchange" t="s"/>
    <k n="Exchange abbreviation" t="s"/>
    <k n="Expense ratio"/>
    <k n="High"/>
    <k n="Instrument type" t="s"/>
    <k n="Last trade time"/>
    <k n="Low"/>
    <k n="Market cap"/>
    <k n="Name" t="s"/>
    <k n="Open"/>
    <k n="Previous close"/>
    <k n="Price"/>
    <k n="Price (Extended hours)"/>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6">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5">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Instrument type</v>
      <v t="s">_Flags</v>
      <v t="s">UniqueName</v>
      <v t="s">_DisplayString</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spbArrays>
  <spbData count="22">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1</v>
      <v>1</v>
      <v>1</v>
    </spb>
    <spb s="6">
      <v>1</v>
      <v>2</v>
      <v>1</v>
      <v>3</v>
      <v>1</v>
      <v>1</v>
      <v>1</v>
      <v>4</v>
      <v>5</v>
      <v>6</v>
      <v>1</v>
      <v>1</v>
      <v>5</v>
      <v>1</v>
      <v>4</v>
      <v>7</v>
      <v>9</v>
      <v>1</v>
      <v>1</v>
      <v>5</v>
    </spb>
    <spb s="7">
      <v>at close</v>
      <v>from previous close</v>
      <v>Source: Nasdaq Last Sale</v>
      <v>from previous close</v>
      <v>GMT</v>
      <v>Real-Time Nasdaq Last Sale</v>
      <v>from close</v>
      <v>from close</v>
    </spb>
    <spb s="0">
      <v>2</v>
      <v>Name</v>
      <v>LearnMoreOnLink</v>
    </spb>
    <spb s="8">
      <v>0</v>
      <v>0</v>
    </spb>
    <spb s="9">
      <v>10</v>
      <v>1</v>
      <v>1</v>
      <v>1</v>
      <v>1</v>
    </spb>
    <spb s="10">
      <v>1</v>
      <v>2</v>
      <v>2</v>
      <v>1</v>
      <v>3</v>
      <v>1</v>
      <v>10</v>
      <v>1</v>
      <v>1</v>
      <v>4</v>
      <v>4</v>
      <v>5</v>
      <v>6</v>
      <v>1</v>
      <v>1</v>
      <v>1</v>
      <v>4</v>
      <v>7</v>
      <v>8</v>
      <v>9</v>
      <v>4</v>
      <v>1</v>
      <v>1</v>
      <v>5</v>
    </spb>
    <spb s="11">
      <v>Powered by Refinitiv</v>
    </spb>
    <spb s="4">
      <v>at close</v>
      <v>from previous close</v>
      <v>from previous close</v>
      <v>Source: Nasdaq</v>
      <v>GMT</v>
      <v>Delayed 15 minutes</v>
      <v>from close</v>
      <v>from close</v>
    </spb>
    <spb s="12">
      <v>3</v>
      <v>Name</v>
    </spb>
    <spb s="13">
      <v>1</v>
      <v>1</v>
    </spb>
    <spb s="14">
      <v>1</v>
      <v>1</v>
      <v>3</v>
      <v>1</v>
      <v>1</v>
      <v>1</v>
      <v>4</v>
      <v>5</v>
      <v>6</v>
      <v>1</v>
      <v>1</v>
      <v>5</v>
      <v>1</v>
      <v>4</v>
      <v>7</v>
      <v>9</v>
      <v>1</v>
      <v>1</v>
      <v>5</v>
    </spb>
    <spb s="0">
      <v>4</v>
      <v>Name</v>
      <v>LearnMoreOnLink</v>
    </spb>
    <spb s="15">
      <v>1</v>
      <v>2</v>
      <v>1</v>
      <v>3</v>
      <v>1</v>
      <v>1</v>
      <v>1</v>
      <v>4</v>
      <v>4</v>
      <v>5</v>
      <v>6</v>
      <v>1</v>
      <v>1</v>
      <v>1</v>
      <v>4</v>
      <v>7</v>
      <v>8</v>
      <v>9</v>
      <v>4</v>
      <v>1</v>
      <v>1</v>
      <v>5</v>
    </spb>
    <spb s="12">
      <v>5</v>
      <v>Name</v>
    </spb>
    <spb s="16">
      <v>1</v>
      <v>1</v>
      <v>1</v>
    </spb>
  </spbData>
</supportingPropertyBags>
</file>

<file path=xl/richData/rdsupportingpropertybagstructure.xml><?xml version="1.0" encoding="utf-8"?>
<spbStructures xmlns="http://schemas.microsoft.com/office/spreadsheetml/2017/richdata2" count="1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Order" t="spba"/>
    <k n="TitleProperty" t="s"/>
  </s>
  <s>
    <k n="UniqueName" t="spb"/>
    <k n="`%ProviderInfo" t="spb"/>
  </s>
  <s>
    <k n="Low"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ExchangeID" t="spb"/>
    <k n="UniqueName" t="spb"/>
    <k n="`%ProviderInfo"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m/d/yy\ h:mm"/>
    </x:dxf>
    <x:dxf>
      <x:numFmt numFmtId="1" formatCode="0"/>
    </x:dxf>
    <x:dxf>
      <x:numFmt numFmtId="2" formatCode="0.00"/>
    </x:dxf>
  </dxfs>
  <richProperties>
    <rPr n="NumberFormat" t="s"/>
    <rPr n="IsTitleField" t="b"/>
    <rPr n="IsHero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C255-DAF6-FB4C-A258-46B6DC59972B}">
  <dimension ref="A1:F37"/>
  <sheetViews>
    <sheetView tabSelected="1" workbookViewId="0">
      <selection activeCell="G1" sqref="G1"/>
    </sheetView>
  </sheetViews>
  <sheetFormatPr baseColWidth="10" defaultRowHeight="16" x14ac:dyDescent="0.2"/>
  <cols>
    <col min="1" max="1" width="51.5" bestFit="1" customWidth="1"/>
    <col min="2" max="2" width="7.33203125" bestFit="1" customWidth="1"/>
    <col min="3" max="3" width="9" bestFit="1" customWidth="1"/>
    <col min="4" max="4" width="8" bestFit="1" customWidth="1"/>
    <col min="5" max="5" width="11.5" bestFit="1" customWidth="1"/>
    <col min="6" max="6" width="14.1640625" bestFit="1" customWidth="1"/>
  </cols>
  <sheetData>
    <row r="1" spans="1:6" x14ac:dyDescent="0.2">
      <c r="A1" t="s">
        <v>0</v>
      </c>
      <c r="B1" t="s">
        <v>0</v>
      </c>
      <c r="C1" t="s">
        <v>1</v>
      </c>
      <c r="D1" t="s">
        <v>2</v>
      </c>
      <c r="E1" t="s">
        <v>3</v>
      </c>
      <c r="F1" t="s">
        <v>4</v>
      </c>
    </row>
    <row r="2" spans="1:6" x14ac:dyDescent="0.2">
      <c r="A2" t="e" vm="1">
        <v>#VALUE!</v>
      </c>
      <c r="B2" t="str" cm="1">
        <f t="array" aca="1" ref="B2" ca="1">_FV(A2,"Ticker symbol",TRUE)</f>
        <v>RCL</v>
      </c>
      <c r="C2" s="1" cm="1">
        <f t="array" aca="1" ref="C2" ca="1">_FV(A2,"Price")</f>
        <v>260.52</v>
      </c>
      <c r="D2">
        <v>57.95</v>
      </c>
      <c r="E2" s="1">
        <f ca="1">C2*D2</f>
        <v>15097.134</v>
      </c>
      <c r="F2" s="2">
        <f ca="1">E2/SUM($E$2:$E$37)</f>
        <v>0.16704427092628776</v>
      </c>
    </row>
    <row r="3" spans="1:6" x14ac:dyDescent="0.2">
      <c r="A3" t="e" vm="2">
        <v>#VALUE!</v>
      </c>
      <c r="B3" t="str" cm="1">
        <f t="array" aca="1" ref="B3" ca="1">_FV(A3,"Ticker symbol",TRUE)</f>
        <v>AMZN</v>
      </c>
      <c r="C3" s="1" cm="1">
        <f t="array" aca="1" ref="C3" ca="1">_FV(A3,"Price")</f>
        <v>255.08</v>
      </c>
      <c r="D3">
        <v>28.66</v>
      </c>
      <c r="E3" s="1">
        <f ca="1">C3*D3</f>
        <v>7310.5928000000004</v>
      </c>
      <c r="F3" s="2">
        <f ca="1">E3/SUM($E$2:$E$37)</f>
        <v>8.0889037900502739E-2</v>
      </c>
    </row>
    <row r="4" spans="1:6" x14ac:dyDescent="0.2">
      <c r="A4" t="e" vm="3">
        <v>#VALUE!</v>
      </c>
      <c r="B4" t="str" cm="1">
        <f t="array" aca="1" ref="B4" ca="1">_FV(A4,"Ticker symbol",TRUE)</f>
        <v>GOOGL</v>
      </c>
      <c r="C4" s="1" cm="1">
        <f t="array" aca="1" ref="C4" ca="1">_FV(A4,"Price")</f>
        <v>338.89</v>
      </c>
      <c r="D4">
        <v>21.24</v>
      </c>
      <c r="E4" s="1">
        <f ca="1">C4*D4</f>
        <v>7198.0235999999995</v>
      </c>
      <c r="F4" s="2">
        <f ca="1">E4/SUM($E$2:$E$37)</f>
        <v>7.9643500837457831E-2</v>
      </c>
    </row>
    <row r="5" spans="1:6" x14ac:dyDescent="0.2">
      <c r="A5" t="e" vm="4">
        <v>#VALUE!</v>
      </c>
      <c r="B5" t="str" cm="1">
        <f t="array" aca="1" ref="B5" ca="1">_FV(A5,"Ticker symbol",TRUE)</f>
        <v>META</v>
      </c>
      <c r="C5" s="1" cm="1">
        <f t="array" aca="1" ref="C5" ca="1">_FV(A5,"Price")</f>
        <v>659.15</v>
      </c>
      <c r="D5">
        <v>10.15</v>
      </c>
      <c r="E5" s="1">
        <f ca="1">C5*D5</f>
        <v>6690.3725000000004</v>
      </c>
      <c r="F5" s="2">
        <f ca="1">E5/SUM($E$2:$E$37)</f>
        <v>7.4026526921453117E-2</v>
      </c>
    </row>
    <row r="6" spans="1:6" x14ac:dyDescent="0.2">
      <c r="A6" t="e" vm="5">
        <v>#VALUE!</v>
      </c>
      <c r="B6" t="str" cm="1">
        <f t="array" aca="1" ref="B6" ca="1">_FV(A6,"Ticker symbol",TRUE)</f>
        <v>SMH</v>
      </c>
      <c r="C6" s="1" cm="1">
        <f t="array" aca="1" ref="C6" ca="1">_FV(A6,"Price")</f>
        <v>481.85</v>
      </c>
      <c r="D6">
        <v>12.59</v>
      </c>
      <c r="E6" s="1">
        <f ca="1">C6*D6</f>
        <v>6066.4915000000001</v>
      </c>
      <c r="F6" s="2">
        <f ca="1">E6/SUM($E$2:$E$37)</f>
        <v>6.7123511634593805E-2</v>
      </c>
    </row>
    <row r="7" spans="1:6" x14ac:dyDescent="0.2">
      <c r="A7" t="e" vm="6">
        <v>#VALUE!</v>
      </c>
      <c r="B7" t="str" cm="1">
        <f t="array" aca="1" ref="B7" ca="1">_FV(A7,"Ticker symbol",TRUE)</f>
        <v>AMD</v>
      </c>
      <c r="C7" s="1" cm="1">
        <f t="array" aca="1" ref="C7" ca="1">_FV(A7,"Price")</f>
        <v>305.33</v>
      </c>
      <c r="D7">
        <v>18.96</v>
      </c>
      <c r="E7" s="1">
        <f ca="1">C7*D7</f>
        <v>5789.0568000000003</v>
      </c>
      <c r="F7" s="2">
        <f ca="1">E7/SUM($E$2:$E$37)</f>
        <v>6.4053798059079847E-2</v>
      </c>
    </row>
    <row r="8" spans="1:6" x14ac:dyDescent="0.2">
      <c r="A8" t="e" vm="7">
        <v>#VALUE!</v>
      </c>
      <c r="B8" t="str" cm="1">
        <f t="array" aca="1" ref="B8" ca="1">_FV(A8,"Ticker symbol",TRUE)</f>
        <v>TSLA</v>
      </c>
      <c r="C8" s="1" cm="1">
        <f t="array" aca="1" ref="C8" ca="1">_FV(A8,"Price")</f>
        <v>373.72</v>
      </c>
      <c r="D8">
        <v>13.05</v>
      </c>
      <c r="E8" s="1">
        <f ca="1">C8*D8</f>
        <v>4877.0460000000003</v>
      </c>
      <c r="F8" s="2">
        <f ca="1">E8/SUM($E$2:$E$37)</f>
        <v>5.3962731823402242E-2</v>
      </c>
    </row>
    <row r="9" spans="1:6" x14ac:dyDescent="0.2">
      <c r="A9" t="e" vm="8">
        <v>#VALUE!</v>
      </c>
      <c r="B9" t="str" cm="1">
        <f t="array" aca="1" ref="B9" ca="1">_FV(A9,"Ticker symbol",TRUE)</f>
        <v>MSFT</v>
      </c>
      <c r="C9" s="1" cm="1">
        <f t="array" aca="1" ref="C9" ca="1">_FV(A9,"Price")</f>
        <v>415.75</v>
      </c>
      <c r="D9">
        <v>8.73</v>
      </c>
      <c r="E9" s="1">
        <f ca="1">C9*D9</f>
        <v>3629.4975000000004</v>
      </c>
      <c r="F9" s="2">
        <f ca="1">E9/SUM($E$2:$E$37)</f>
        <v>4.0159063549166624E-2</v>
      </c>
    </row>
    <row r="10" spans="1:6" x14ac:dyDescent="0.2">
      <c r="A10" t="e" vm="9">
        <v>#VALUE!</v>
      </c>
      <c r="B10" t="str" cm="1">
        <f t="array" aca="1" ref="B10" ca="1">_FV(A10,"Ticker symbol",TRUE)</f>
        <v>LLY</v>
      </c>
      <c r="C10" s="1" cm="1">
        <f t="array" aca="1" ref="C10" ca="1">_FV(A10,"Price")</f>
        <v>917.23</v>
      </c>
      <c r="D10">
        <v>3.7</v>
      </c>
      <c r="E10" s="1">
        <f ca="1">C10*D10</f>
        <v>3393.7510000000002</v>
      </c>
      <c r="F10" s="2">
        <f ca="1">E10/SUM($E$2:$E$37)</f>
        <v>3.7550614672980979E-2</v>
      </c>
    </row>
    <row r="11" spans="1:6" x14ac:dyDescent="0.2">
      <c r="A11" t="e" vm="10">
        <v>#VALUE!</v>
      </c>
      <c r="B11" t="str" cm="1">
        <f t="array" aca="1" ref="B11" ca="1">_FV(A11,"Ticker symbol",TRUE)</f>
        <v>UNH</v>
      </c>
      <c r="C11" s="1" cm="1">
        <f t="array" aca="1" ref="C11" ca="1">_FV(A11,"Price")</f>
        <v>354.52</v>
      </c>
      <c r="D11">
        <v>8.51</v>
      </c>
      <c r="E11" s="1">
        <f ca="1">C11*D11</f>
        <v>3016.9651999999996</v>
      </c>
      <c r="F11" s="2">
        <f ca="1">E11/SUM($E$2:$E$37)</f>
        <v>3.3381617480773625E-2</v>
      </c>
    </row>
    <row r="12" spans="1:6" x14ac:dyDescent="0.2">
      <c r="A12" t="e" vm="11">
        <v>#VALUE!</v>
      </c>
      <c r="B12" t="str" cm="1">
        <f t="array" aca="1" ref="B12" ca="1">_FV(A12,"Ticker symbol",TRUE)</f>
        <v>JPM</v>
      </c>
      <c r="C12" s="1" cm="1">
        <f t="array" aca="1" ref="C12" ca="1">_FV(A12,"Price")</f>
        <v>311.70999999999998</v>
      </c>
      <c r="D12">
        <v>8.6</v>
      </c>
      <c r="E12" s="1">
        <f ca="1">C12*D12</f>
        <v>2680.7059999999997</v>
      </c>
      <c r="F12" s="2">
        <f ca="1">E12/SUM($E$2:$E$37)</f>
        <v>2.9661032308365618E-2</v>
      </c>
    </row>
    <row r="13" spans="1:6" x14ac:dyDescent="0.2">
      <c r="A13" t="e" vm="12">
        <v>#VALUE!</v>
      </c>
      <c r="B13" t="str" cm="1">
        <f t="array" aca="1" ref="B13" ca="1">_FV(A13,"Ticker symbol",TRUE)</f>
        <v>CAKE</v>
      </c>
      <c r="C13" s="1" cm="1">
        <f t="array" aca="1" ref="C13" ca="1">_FV(A13,"Price")</f>
        <v>61.88</v>
      </c>
      <c r="D13">
        <v>38.26</v>
      </c>
      <c r="E13" s="1">
        <f ca="1">C13*D13</f>
        <v>2367.5288</v>
      </c>
      <c r="F13" s="2">
        <f ca="1">E13/SUM($E$2:$E$37)</f>
        <v>2.6195841031349986E-2</v>
      </c>
    </row>
    <row r="14" spans="1:6" x14ac:dyDescent="0.2">
      <c r="A14" t="e" vm="13">
        <v>#VALUE!</v>
      </c>
      <c r="B14" t="str" cm="1">
        <f t="array" aca="1" ref="B14" ca="1">_FV(A14,"Ticker symbol",TRUE)</f>
        <v>PLTR</v>
      </c>
      <c r="C14" s="1" cm="1">
        <f t="array" aca="1" ref="C14" ca="1">_FV(A14,"Price")</f>
        <v>141.57</v>
      </c>
      <c r="D14">
        <v>14.75</v>
      </c>
      <c r="E14" s="1">
        <f ca="1">C14*D14</f>
        <v>2088.1574999999998</v>
      </c>
      <c r="F14" s="2">
        <f ca="1">E14/SUM($E$2:$E$37)</f>
        <v>2.3104699684506985E-2</v>
      </c>
    </row>
    <row r="15" spans="1:6" x14ac:dyDescent="0.2">
      <c r="A15" t="e" vm="14">
        <v>#VALUE!</v>
      </c>
      <c r="B15" t="str" cm="1">
        <f t="array" aca="1" ref="B15" ca="1">_FV(A15,"Ticker symbol",TRUE)</f>
        <v>VYM</v>
      </c>
      <c r="C15" s="1" cm="1">
        <f t="array" aca="1" ref="C15" ca="1">_FV(A15,"Price")</f>
        <v>155.82</v>
      </c>
      <c r="D15">
        <v>13.22</v>
      </c>
      <c r="E15" s="1">
        <f ca="1">C15*D15</f>
        <v>2059.9404</v>
      </c>
      <c r="F15" s="2">
        <f ca="1">E15/SUM($E$2:$E$37)</f>
        <v>2.2792487784079121E-2</v>
      </c>
    </row>
    <row r="16" spans="1:6" x14ac:dyDescent="0.2">
      <c r="A16" t="e" vm="15">
        <v>#VALUE!</v>
      </c>
      <c r="B16" t="str" cm="1">
        <f t="array" aca="1" ref="B16" ca="1">_FV(A16,"Ticker symbol",TRUE)</f>
        <v>SHOP</v>
      </c>
      <c r="C16" s="1" cm="1">
        <f t="array" aca="1" ref="C16" ca="1">_FV(A16,"Price")</f>
        <v>124.23</v>
      </c>
      <c r="D16">
        <v>16.260000000000002</v>
      </c>
      <c r="E16" s="1">
        <f ca="1">C16*D16</f>
        <v>2019.9798000000003</v>
      </c>
      <c r="F16" s="2">
        <f ca="1">E16/SUM($E$2:$E$37)</f>
        <v>2.2350338347452477E-2</v>
      </c>
    </row>
    <row r="17" spans="1:6" x14ac:dyDescent="0.2">
      <c r="A17" t="e" vm="16">
        <v>#VALUE!</v>
      </c>
      <c r="B17" t="str" cm="1">
        <f t="array" aca="1" ref="B17" ca="1">_FV(A17,"Ticker symbol",TRUE)</f>
        <v>SOFI</v>
      </c>
      <c r="C17" s="1" cm="1">
        <f t="array" aca="1" ref="C17" ca="1">_FV(A17,"Price")</f>
        <v>18.32</v>
      </c>
      <c r="D17">
        <v>102.57</v>
      </c>
      <c r="E17" s="1">
        <f ca="1">C17*D17</f>
        <v>1879.0824</v>
      </c>
      <c r="F17" s="2">
        <f ca="1">E17/SUM($E$2:$E$37)</f>
        <v>2.0791360103077777E-2</v>
      </c>
    </row>
    <row r="18" spans="1:6" x14ac:dyDescent="0.2">
      <c r="A18" t="e" vm="17">
        <v>#VALUE!</v>
      </c>
      <c r="B18" t="str" cm="1">
        <f t="array" aca="1" ref="B18" ca="1">_FV(A18,"Ticker symbol",TRUE)</f>
        <v>NVDA</v>
      </c>
      <c r="C18" s="1" cm="1">
        <f t="array" aca="1" ref="C18" ca="1">_FV(A18,"Price")</f>
        <v>199.64</v>
      </c>
      <c r="D18">
        <v>8.74</v>
      </c>
      <c r="E18" s="1">
        <f ca="1">C18*D18</f>
        <v>1744.8535999999999</v>
      </c>
      <c r="F18" s="2">
        <f ca="1">E18/SUM($E$2:$E$37)</f>
        <v>1.9306167480868122E-2</v>
      </c>
    </row>
    <row r="19" spans="1:6" x14ac:dyDescent="0.2">
      <c r="A19" t="e" vm="18">
        <v>#VALUE!</v>
      </c>
      <c r="B19" t="str" cm="1">
        <f t="array" aca="1" ref="B19" ca="1">_FV(A19,"Ticker symbol",TRUE)</f>
        <v>ELF</v>
      </c>
      <c r="C19" s="1" cm="1">
        <f t="array" aca="1" ref="C19" ca="1">_FV(A19,"Price")</f>
        <v>66.239999999999995</v>
      </c>
      <c r="D19">
        <v>19.739999999999998</v>
      </c>
      <c r="E19" s="1">
        <f ca="1">C19*D19</f>
        <v>1307.5775999999998</v>
      </c>
      <c r="F19" s="2">
        <f ca="1">E19/SUM($E$2:$E$37)</f>
        <v>1.4467868329945611E-2</v>
      </c>
    </row>
    <row r="20" spans="1:6" x14ac:dyDescent="0.2">
      <c r="A20" t="e" vm="19">
        <v>#VALUE!</v>
      </c>
      <c r="B20" t="str" cm="1">
        <f t="array" aca="1" ref="B20" ca="1">_FV(A20,"Ticker symbol",TRUE)</f>
        <v>PYPL</v>
      </c>
      <c r="C20" s="1" cm="1">
        <f t="array" aca="1" ref="C20" ca="1">_FV(A20,"Price")</f>
        <v>49.75</v>
      </c>
      <c r="D20">
        <v>25.59</v>
      </c>
      <c r="E20" s="1">
        <f ca="1">C20*D20</f>
        <v>1273.1025</v>
      </c>
      <c r="F20" s="2">
        <f ca="1">E20/SUM($E$2:$E$37)</f>
        <v>1.4086413946311547E-2</v>
      </c>
    </row>
    <row r="21" spans="1:6" x14ac:dyDescent="0.2">
      <c r="A21" t="e" vm="20">
        <v>#VALUE!</v>
      </c>
      <c r="B21" t="str" cm="1">
        <f t="array" aca="1" ref="B21" ca="1">_FV(A21,"Ticker symbol",TRUE)</f>
        <v>HOOD</v>
      </c>
      <c r="C21" s="1" cm="1">
        <f t="array" aca="1" ref="C21" ca="1">_FV(A21,"Price")</f>
        <v>83.54</v>
      </c>
      <c r="D21">
        <v>12.75</v>
      </c>
      <c r="E21" s="1">
        <f ca="1">C21*D21</f>
        <v>1065.135</v>
      </c>
      <c r="F21" s="2">
        <f ca="1">E21/SUM($E$2:$E$37)</f>
        <v>1.1785329554143952E-2</v>
      </c>
    </row>
    <row r="22" spans="1:6" x14ac:dyDescent="0.2">
      <c r="A22" t="e" vm="21">
        <v>#VALUE!</v>
      </c>
      <c r="B22" t="str" cm="1">
        <f t="array" aca="1" ref="B22" ca="1">_FV(A22,"Ticker symbol",TRUE)</f>
        <v>NVO</v>
      </c>
      <c r="C22" s="1" cm="1">
        <f t="array" aca="1" ref="C22" ca="1">_FV(A22,"Price")</f>
        <v>38.515000000000001</v>
      </c>
      <c r="D22">
        <v>26.94</v>
      </c>
      <c r="E22" s="1">
        <f ca="1">C22*D22</f>
        <v>1037.5941</v>
      </c>
      <c r="F22" s="2">
        <f ca="1">E22/SUM($E$2:$E$37)</f>
        <v>1.1480599559619574E-2</v>
      </c>
    </row>
    <row r="23" spans="1:6" x14ac:dyDescent="0.2">
      <c r="A23" t="e" vm="22">
        <v>#VALUE!</v>
      </c>
      <c r="B23" t="str" cm="1">
        <f t="array" aca="1" ref="B23" ca="1">_FV(A23,"Ticker symbol",TRUE)</f>
        <v>ABBV</v>
      </c>
      <c r="C23" s="1" cm="1">
        <f t="array" aca="1" ref="C23" ca="1">_FV(A23,"Price")</f>
        <v>200.84</v>
      </c>
      <c r="D23">
        <v>5.05</v>
      </c>
      <c r="E23" s="1">
        <f ca="1">C23*D23</f>
        <v>1014.242</v>
      </c>
      <c r="F23" s="2">
        <f ca="1">E23/SUM($E$2:$E$37)</f>
        <v>1.122221710642695E-2</v>
      </c>
    </row>
    <row r="24" spans="1:6" x14ac:dyDescent="0.2">
      <c r="A24" t="e" vm="23">
        <v>#VALUE!</v>
      </c>
      <c r="B24" t="str" cm="1">
        <f t="array" aca="1" ref="B24" ca="1">_FV(A24,"Ticker symbol",TRUE)</f>
        <v>ADBE</v>
      </c>
      <c r="C24" s="1" cm="1">
        <f t="array" aca="1" ref="C24" ca="1">_FV(A24,"Price")</f>
        <v>238.98</v>
      </c>
      <c r="D24">
        <v>3.89</v>
      </c>
      <c r="E24" s="1">
        <f ca="1">C24*D24</f>
        <v>929.63220000000001</v>
      </c>
      <c r="F24" s="2">
        <f ca="1">E24/SUM($E$2:$E$37)</f>
        <v>1.0286040587478453E-2</v>
      </c>
    </row>
    <row r="25" spans="1:6" x14ac:dyDescent="0.2">
      <c r="A25" t="e" vm="24">
        <v>#VALUE!</v>
      </c>
      <c r="B25" t="str" cm="1">
        <f t="array" aca="1" ref="B25" ca="1">_FV(A25,"Ticker symbol",TRUE)</f>
        <v>NKE</v>
      </c>
      <c r="C25" s="1" cm="1">
        <f t="array" aca="1" ref="C25" ca="1">_FV(A25,"Price")</f>
        <v>44.765000000000001</v>
      </c>
      <c r="D25">
        <v>20.55</v>
      </c>
      <c r="E25" s="1">
        <f ca="1">C25*D25</f>
        <v>919.92075</v>
      </c>
      <c r="F25" s="2">
        <f ca="1">E25/SUM($E$2:$E$37)</f>
        <v>1.0178586941979439E-2</v>
      </c>
    </row>
    <row r="26" spans="1:6" x14ac:dyDescent="0.2">
      <c r="A26" t="e" vm="25">
        <v>#VALUE!</v>
      </c>
      <c r="B26" t="str" cm="1">
        <f t="array" aca="1" ref="B26" ca="1">_FV(A26,"Ticker symbol",TRUE)</f>
        <v>NFLX</v>
      </c>
      <c r="C26" s="1" cm="1">
        <f t="array" aca="1" ref="C26" ca="1">_FV(A26,"Price")</f>
        <v>92.82</v>
      </c>
      <c r="D26">
        <v>7.21</v>
      </c>
      <c r="E26" s="1">
        <f ca="1">C26*D26</f>
        <v>669.23219999999992</v>
      </c>
      <c r="F26" s="2">
        <f ca="1">E26/SUM($E$2:$E$37)</f>
        <v>7.4048097426568232E-3</v>
      </c>
    </row>
    <row r="27" spans="1:6" x14ac:dyDescent="0.2">
      <c r="A27" t="e" vm="26">
        <v>#VALUE!</v>
      </c>
      <c r="B27" t="str" cm="1">
        <f t="array" aca="1" ref="B27" ca="1">_FV(A27,"Ticker symbol",TRUE)</f>
        <v>IBIT</v>
      </c>
      <c r="C27" s="1" cm="1">
        <f t="array" aca="1" ref="C27" ca="1">_FV(A27,"Price")</f>
        <v>44.05</v>
      </c>
      <c r="D27">
        <v>14.12</v>
      </c>
      <c r="E27" s="1">
        <f ca="1">C27*D27</f>
        <v>621.98599999999988</v>
      </c>
      <c r="F27" s="2">
        <f ca="1">E27/SUM($E$2:$E$37)</f>
        <v>6.8820478043288211E-3</v>
      </c>
    </row>
    <row r="28" spans="1:6" x14ac:dyDescent="0.2">
      <c r="A28" t="e" vm="27">
        <v>#VALUE!</v>
      </c>
      <c r="B28" t="str" cm="1">
        <f t="array" aca="1" ref="B28" ca="1">_FV(A28,"Ticker symbol",TRUE)</f>
        <v>EL</v>
      </c>
      <c r="C28" s="1" cm="1">
        <f t="array" aca="1" ref="C28" ca="1">_FV(A28,"Price")</f>
        <v>76.400000000000006</v>
      </c>
      <c r="D28">
        <v>7.7</v>
      </c>
      <c r="E28" s="1">
        <f ca="1">C28*D28</f>
        <v>588.28000000000009</v>
      </c>
      <c r="F28" s="2">
        <f ca="1">E28/SUM($E$2:$E$37)</f>
        <v>6.5091032311507977E-3</v>
      </c>
    </row>
    <row r="29" spans="1:6" x14ac:dyDescent="0.2">
      <c r="A29" t="e" vm="28">
        <v>#VALUE!</v>
      </c>
      <c r="B29" t="str" cm="1">
        <f t="array" aca="1" ref="B29" ca="1">_FV(A29,"Ticker symbol",TRUE)</f>
        <v>HNST</v>
      </c>
      <c r="C29" s="1" cm="1">
        <f t="array" aca="1" ref="C29" ca="1">_FV(A29,"Price")</f>
        <v>3.44</v>
      </c>
      <c r="D29">
        <v>155.61000000000001</v>
      </c>
      <c r="E29" s="1">
        <f ca="1">C29*D29</f>
        <v>535.29840000000002</v>
      </c>
      <c r="F29" s="2">
        <f ca="1">E29/SUM($E$2:$E$37)</f>
        <v>5.9228811876484867E-3</v>
      </c>
    </row>
    <row r="30" spans="1:6" x14ac:dyDescent="0.2">
      <c r="A30" t="e" vm="29">
        <v>#VALUE!</v>
      </c>
      <c r="B30" t="str" cm="1">
        <f t="array" aca="1" ref="B30" ca="1">_FV(A30,"Ticker symbol",TRUE)</f>
        <v>RVLV</v>
      </c>
      <c r="C30" s="1" cm="1">
        <f t="array" aca="1" ref="C30" ca="1">_FV(A30,"Price")</f>
        <v>26.45</v>
      </c>
      <c r="D30">
        <v>16.77</v>
      </c>
      <c r="E30" s="1">
        <f ca="1">C30*D30</f>
        <v>443.56649999999996</v>
      </c>
      <c r="F30" s="2">
        <f ca="1">E30/SUM($E$2:$E$37)</f>
        <v>4.9079012347525838E-3</v>
      </c>
    </row>
    <row r="31" spans="1:6" x14ac:dyDescent="0.2">
      <c r="A31" t="e" vm="30">
        <v>#VALUE!</v>
      </c>
      <c r="B31" t="str" cm="1">
        <f t="array" aca="1" ref="B31" ca="1">_FV(A31,"Ticker symbol",TRUE)</f>
        <v>CRM</v>
      </c>
      <c r="C31" s="1" cm="1">
        <f t="array" aca="1" ref="C31" ca="1">_FV(A31,"Price")</f>
        <v>173.21</v>
      </c>
      <c r="D31">
        <v>2.5499999999999998</v>
      </c>
      <c r="E31" s="1">
        <f ca="1">C31*D31</f>
        <v>441.68549999999999</v>
      </c>
      <c r="F31" s="2">
        <f ca="1">E31/SUM($E$2:$E$37)</f>
        <v>4.8870886571062344E-3</v>
      </c>
    </row>
    <row r="32" spans="1:6" x14ac:dyDescent="0.2">
      <c r="A32" t="e" vm="31">
        <v>#VALUE!</v>
      </c>
      <c r="B32" t="str" cm="1">
        <f t="array" aca="1" ref="B32" ca="1">_FV(A32,"Ticker symbol",TRUE)</f>
        <v>HIMS</v>
      </c>
      <c r="C32" s="1" cm="1">
        <f t="array" aca="1" ref="C32" ca="1">_FV(A32,"Price")</f>
        <v>28.18</v>
      </c>
      <c r="D32">
        <v>13.64</v>
      </c>
      <c r="E32" s="1">
        <f ca="1">C32*D32</f>
        <v>384.37520000000001</v>
      </c>
      <c r="F32" s="2">
        <f ca="1">E32/SUM($E$2:$E$37)</f>
        <v>4.2529711298943257E-3</v>
      </c>
    </row>
    <row r="33" spans="1:6" x14ac:dyDescent="0.2">
      <c r="A33" t="e" vm="32">
        <v>#VALUE!</v>
      </c>
      <c r="B33" t="str" cm="1">
        <f t="array" aca="1" ref="B33" ca="1">_FV(A33,"Ticker symbol",TRUE)</f>
        <v>CRCL</v>
      </c>
      <c r="C33" s="1" cm="1">
        <f t="array" aca="1" ref="C33" ca="1">_FV(A33,"Price")</f>
        <v>100.12</v>
      </c>
      <c r="D33">
        <v>3.82</v>
      </c>
      <c r="E33" s="1">
        <f ca="1">C33*D33</f>
        <v>382.45839999999998</v>
      </c>
      <c r="F33" s="2">
        <f ca="1">E33/SUM($E$2:$E$37)</f>
        <v>4.2317624383299852E-3</v>
      </c>
    </row>
    <row r="34" spans="1:6" x14ac:dyDescent="0.2">
      <c r="A34" t="e" vm="33">
        <v>#VALUE!</v>
      </c>
      <c r="B34" t="str" cm="1">
        <f t="array" aca="1" ref="B34" ca="1">_FV(A34,"Ticker symbol",TRUE)</f>
        <v>DUOL</v>
      </c>
      <c r="C34" s="1" cm="1">
        <f t="array" aca="1" ref="C34" ca="1">_FV(A34,"Price")</f>
        <v>100.29</v>
      </c>
      <c r="D34">
        <v>3.13</v>
      </c>
      <c r="E34" s="1">
        <f ca="1">C34*D34</f>
        <v>313.90770000000003</v>
      </c>
      <c r="F34" s="2">
        <f ca="1">E34/SUM($E$2:$E$37)</f>
        <v>3.4732739925768599E-3</v>
      </c>
    </row>
    <row r="35" spans="1:6" x14ac:dyDescent="0.2">
      <c r="A35" t="e" vm="34">
        <v>#VALUE!</v>
      </c>
      <c r="B35" t="str" cm="1">
        <f t="array" aca="1" ref="B35" ca="1">_FV(A35,"Ticker symbol",TRUE)</f>
        <v>FUBO</v>
      </c>
      <c r="C35" s="1" cm="1">
        <f t="array" aca="1" ref="C35" ca="1">_FV(A35,"Price")</f>
        <v>12.285</v>
      </c>
      <c r="D35">
        <v>18.61</v>
      </c>
      <c r="E35" s="1">
        <f ca="1">C35*D35</f>
        <v>228.62385</v>
      </c>
      <c r="F35" s="2">
        <f ca="1">E35/SUM($E$2:$E$37)</f>
        <v>2.5296393566892213E-3</v>
      </c>
    </row>
    <row r="36" spans="1:6" x14ac:dyDescent="0.2">
      <c r="A36" t="e" vm="35">
        <v>#VALUE!</v>
      </c>
      <c r="B36" t="str" cm="1">
        <f t="array" aca="1" ref="B36" ca="1">_FV(A36,"Ticker symbol",TRUE)</f>
        <v>CAVA</v>
      </c>
      <c r="C36" s="1" cm="1">
        <f t="array" aca="1" ref="C36" ca="1">_FV(A36,"Price")</f>
        <v>93.07</v>
      </c>
      <c r="D36">
        <v>1.77</v>
      </c>
      <c r="E36" s="1">
        <f ca="1">C36*D36</f>
        <v>164.73389999999998</v>
      </c>
      <c r="F36" s="2">
        <f ca="1">E36/SUM($E$2:$E$37)</f>
        <v>1.8227204065582243E-3</v>
      </c>
    </row>
    <row r="37" spans="1:6" x14ac:dyDescent="0.2">
      <c r="A37" t="e" vm="36">
        <v>#VALUE!</v>
      </c>
      <c r="B37" t="str" cm="1">
        <f t="array" aca="1" ref="B37" ca="1">_FV(A37,"Ticker symbol",TRUE)</f>
        <v>GRAB</v>
      </c>
      <c r="C37" s="1" cm="1">
        <f t="array" aca="1" ref="C37" ca="1">_FV(A37,"Price")</f>
        <v>3.96</v>
      </c>
      <c r="D37">
        <v>37.25</v>
      </c>
      <c r="E37" s="1">
        <f ca="1">C37*D37</f>
        <v>147.51</v>
      </c>
      <c r="F37" s="2">
        <f ca="1">E37/SUM($E$2:$E$37)</f>
        <v>1.6321442470032196E-3</v>
      </c>
    </row>
  </sheetData>
  <autoFilter ref="A1:F1" xr:uid="{5BFE66F7-B7D4-C54F-A9DB-4752113A6190}">
    <sortState xmlns:xlrd2="http://schemas.microsoft.com/office/spreadsheetml/2017/richdata2" ref="A2:F37">
      <sortCondition descending="1" ref="F1:F3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Robinhood Taxable Brokerage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Bu</dc:creator>
  <cp:lastModifiedBy>Henry Bu</cp:lastModifiedBy>
  <dcterms:created xsi:type="dcterms:W3CDTF">2026-04-23T22:52:13Z</dcterms:created>
  <dcterms:modified xsi:type="dcterms:W3CDTF">2026-04-23T22:53:00Z</dcterms:modified>
</cp:coreProperties>
</file>